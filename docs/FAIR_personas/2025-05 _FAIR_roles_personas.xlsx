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mc:AlternateContent xmlns:mc="http://schemas.openxmlformats.org/markup-compatibility/2006">
    <mc:Choice Requires="x15">
      <x15ac:absPath xmlns:x15ac="http://schemas.microsoft.com/office/spreadsheetml/2010/11/ac" url="https://pistoiaallianceorg.sharepoint.com/sites/FAIRImplementation/Shared Documents/WG FAIR Good practice and thought leadership/2025 FAIR roles and personas/"/>
    </mc:Choice>
  </mc:AlternateContent>
  <xr:revisionPtr revIDLastSave="3974" documentId="11_F3DD8440BC511E3AFA33C7E76504722D68BD19B1" xr6:coauthVersionLast="47" xr6:coauthVersionMax="47" xr10:uidLastSave="{D55456E7-EBA0-40BA-AE62-8A6F80ECF356}"/>
  <bookViews>
    <workbookView xWindow="28680" yWindow="-120" windowWidth="29040" windowHeight="15720" tabRatio="996" firstSheet="2" xr2:uid="{00000000-000D-0000-FFFF-FFFF00000000}"/>
  </bookViews>
  <sheets>
    <sheet name="Contributors" sheetId="5" r:id="rId1"/>
    <sheet name="FAIR_principles_GOFAIR" sheetId="7" r:id="rId2"/>
    <sheet name="2025-Personas-FAIR-cleaned" sheetId="4" r:id="rId3"/>
    <sheet name="Types of personas" sheetId="29" r:id="rId4"/>
    <sheet name="DRAFT2025_Table_personas_FAIR" sheetId="3" r:id="rId5"/>
    <sheet name="Data_Quality_Manager" sheetId="36" r:id="rId6"/>
    <sheet name="Data_Protection_Officer" sheetId="35" r:id="rId7"/>
    <sheet name="Data_Integration_Specialist" sheetId="34" r:id="rId8"/>
    <sheet name="Data_Engineer" sheetId="33" r:id="rId9"/>
    <sheet name="Data_Analyst" sheetId="32" r:id="rId10"/>
    <sheet name="Reference_Data_Manager" sheetId="31" r:id="rId11"/>
    <sheet name="Data_Owner" sheetId="30" r:id="rId12"/>
    <sheet name="Data_Strategy_Owner" sheetId="28" r:id="rId13"/>
    <sheet name="Master_Data_Manager" sheetId="27" r:id="rId14"/>
    <sheet name="Data_Governance_Expert" sheetId="26" r:id="rId15"/>
    <sheet name="Business_Owner" sheetId="25" r:id="rId16"/>
    <sheet name="Legal_Data_Expert" sheetId="24" r:id="rId17"/>
    <sheet name="Lab_Manager" sheetId="23" r:id="rId18"/>
    <sheet name="FAIR_Trainer" sheetId="22" r:id="rId19"/>
    <sheet name="FAIR_Community_Manager" sheetId="21" r:id="rId20"/>
    <sheet name="Knowledge-Enabled_Citizen" sheetId="20" r:id="rId21"/>
    <sheet name="Citizen_Data_Scientist" sheetId="19" r:id="rId22"/>
    <sheet name="Business_Analyst" sheetId="18" r:id="rId23"/>
    <sheet name="Clinical_Data_Manager-MD" sheetId="17" r:id="rId24"/>
    <sheet name="Data_Scientist-MD" sheetId="16" r:id="rId25"/>
    <sheet name="Data_Steward-MD" sheetId="15" r:id="rId26"/>
    <sheet name="Project_Manager-MD" sheetId="14" r:id="rId27"/>
    <sheet name="Ontologist-MD" sheetId="13" r:id="rId28"/>
    <sheet name="Subject_Matter_Expert-MD" sheetId="12" r:id="rId29"/>
    <sheet name="Technology_leader-MD" sheetId="11" r:id="rId30"/>
    <sheet name="Business_leader-MD" sheetId="10" r:id="rId31"/>
    <sheet name="Researcher-MD" sheetId="9" r:id="rId32"/>
    <sheet name="Curator-MD" sheetId="8" r:id="rId33"/>
    <sheet name="FAIR-Data-Architect-MD" sheetId="6" r:id="rId34"/>
    <sheet name="2025-Personas-collected" sheetId="2"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36" l="1"/>
  <c r="B89" i="36"/>
  <c r="A88" i="36"/>
  <c r="B87" i="36"/>
  <c r="A86" i="36"/>
  <c r="B85" i="36"/>
  <c r="A84" i="36"/>
  <c r="B83" i="36"/>
  <c r="A82" i="36"/>
  <c r="B81" i="36"/>
  <c r="A80" i="36"/>
  <c r="B79" i="36"/>
  <c r="A78" i="36"/>
  <c r="B77" i="36"/>
  <c r="A76" i="36"/>
  <c r="B75" i="36"/>
  <c r="C62" i="36"/>
  <c r="C58" i="36"/>
  <c r="C56" i="36"/>
  <c r="C55" i="36"/>
  <c r="C51" i="36"/>
  <c r="B49" i="36"/>
  <c r="B48" i="36"/>
  <c r="B47" i="36"/>
  <c r="B46" i="36"/>
  <c r="C39" i="36"/>
  <c r="B40" i="36" s="1"/>
  <c r="C35" i="36"/>
  <c r="B33" i="36"/>
  <c r="B32" i="36"/>
  <c r="B31" i="36"/>
  <c r="B30" i="36"/>
  <c r="C24" i="36"/>
  <c r="B25" i="36" s="1"/>
  <c r="A22" i="36"/>
  <c r="B21" i="36"/>
  <c r="B17" i="36"/>
  <c r="I3" i="36"/>
  <c r="I4" i="36" s="1" a="1"/>
  <c r="H3" i="36"/>
  <c r="A63" i="36" s="1"/>
  <c r="G3" i="36"/>
  <c r="G4" i="36" s="1" a="1"/>
  <c r="F3" i="36"/>
  <c r="A52" i="36" s="1"/>
  <c r="E3" i="36"/>
  <c r="B45" i="36" s="1"/>
  <c r="D3" i="36"/>
  <c r="D4" i="36" s="1" a="1"/>
  <c r="B29" i="36" s="1"/>
  <c r="C3" i="36"/>
  <c r="A36" i="36" s="1"/>
  <c r="A90" i="35"/>
  <c r="B89" i="35"/>
  <c r="A88" i="35"/>
  <c r="B87" i="35"/>
  <c r="A86" i="35"/>
  <c r="B85" i="35"/>
  <c r="A84" i="35"/>
  <c r="B83" i="35"/>
  <c r="A82" i="35"/>
  <c r="B81" i="35"/>
  <c r="A80" i="35"/>
  <c r="B79" i="35"/>
  <c r="A78" i="35"/>
  <c r="B77" i="35"/>
  <c r="A76" i="35"/>
  <c r="B75" i="35"/>
  <c r="C62" i="35"/>
  <c r="C58" i="35"/>
  <c r="C56" i="35"/>
  <c r="C55" i="35"/>
  <c r="C51" i="35"/>
  <c r="B49" i="35"/>
  <c r="B48" i="35"/>
  <c r="B47" i="35"/>
  <c r="B46" i="35"/>
  <c r="B45" i="35"/>
  <c r="C39" i="35"/>
  <c r="B40" i="35" s="1"/>
  <c r="C35" i="35"/>
  <c r="B33" i="35"/>
  <c r="B32" i="35"/>
  <c r="B31" i="35"/>
  <c r="B30" i="35"/>
  <c r="B29" i="35"/>
  <c r="C24" i="35"/>
  <c r="B25" i="35" s="1"/>
  <c r="A22" i="35"/>
  <c r="B21" i="35"/>
  <c r="B17" i="35"/>
  <c r="I3" i="35"/>
  <c r="I4" i="35" s="1" a="1"/>
  <c r="H3" i="35"/>
  <c r="A63" i="35" s="1"/>
  <c r="G3" i="35"/>
  <c r="G4" i="35" s="1" a="1"/>
  <c r="F3" i="35"/>
  <c r="A52" i="35" s="1"/>
  <c r="E3" i="35"/>
  <c r="D3" i="35"/>
  <c r="D4" i="35" s="1" a="1"/>
  <c r="C3" i="35"/>
  <c r="A36" i="35" s="1"/>
  <c r="A90" i="34"/>
  <c r="B89" i="34"/>
  <c r="A88" i="34"/>
  <c r="B87" i="34"/>
  <c r="A86" i="34"/>
  <c r="B85" i="34"/>
  <c r="A84" i="34"/>
  <c r="B83" i="34"/>
  <c r="A82" i="34"/>
  <c r="B81" i="34"/>
  <c r="A80" i="34"/>
  <c r="B79" i="34"/>
  <c r="A78" i="34"/>
  <c r="B77" i="34"/>
  <c r="A76" i="34"/>
  <c r="B75" i="34"/>
  <c r="C62" i="34"/>
  <c r="C58" i="34"/>
  <c r="C56" i="34"/>
  <c r="C55" i="34"/>
  <c r="C51" i="34"/>
  <c r="C39" i="34"/>
  <c r="B40" i="34" s="1"/>
  <c r="C35" i="34"/>
  <c r="B33" i="34"/>
  <c r="B32" i="34"/>
  <c r="B31" i="34"/>
  <c r="B30" i="34"/>
  <c r="B29" i="34"/>
  <c r="B28" i="34"/>
  <c r="C24" i="34"/>
  <c r="B25" i="34" s="1"/>
  <c r="A22" i="34"/>
  <c r="B21" i="34"/>
  <c r="B17" i="34"/>
  <c r="I3" i="34"/>
  <c r="I4" i="34" s="1" a="1"/>
  <c r="H3" i="34"/>
  <c r="A63" i="34" s="1"/>
  <c r="G3" i="34"/>
  <c r="G4" i="34" s="1" a="1"/>
  <c r="F3" i="34"/>
  <c r="A52" i="34" s="1"/>
  <c r="E3" i="34"/>
  <c r="E4" i="34" s="1" a="1"/>
  <c r="D3" i="34"/>
  <c r="D4" i="34" s="1" a="1"/>
  <c r="D4" i="34" s="1"/>
  <c r="B27" i="34" s="1"/>
  <c r="C3" i="34"/>
  <c r="A36" i="34" s="1"/>
  <c r="A90" i="33"/>
  <c r="B89" i="33"/>
  <c r="A88" i="33"/>
  <c r="B87" i="33"/>
  <c r="A86" i="33"/>
  <c r="B85" i="33"/>
  <c r="A84" i="33"/>
  <c r="B83" i="33"/>
  <c r="A82" i="33"/>
  <c r="B81" i="33"/>
  <c r="A80" i="33"/>
  <c r="B79" i="33"/>
  <c r="A78" i="33"/>
  <c r="B77" i="33"/>
  <c r="A76" i="33"/>
  <c r="B75" i="33"/>
  <c r="C62" i="33"/>
  <c r="C58" i="33"/>
  <c r="C56" i="33"/>
  <c r="C55" i="33"/>
  <c r="C51" i="33"/>
  <c r="C39" i="33"/>
  <c r="B40" i="33" s="1"/>
  <c r="C35" i="33"/>
  <c r="C24" i="33"/>
  <c r="B25" i="33" s="1"/>
  <c r="A22" i="33"/>
  <c r="B21" i="33"/>
  <c r="B17" i="33"/>
  <c r="I3" i="33"/>
  <c r="I4" i="33" s="1" a="1"/>
  <c r="H3" i="33"/>
  <c r="A63" i="33" s="1"/>
  <c r="G3" i="33"/>
  <c r="G4" i="33" s="1" a="1"/>
  <c r="F3" i="33"/>
  <c r="A52" i="33" s="1"/>
  <c r="E3" i="33"/>
  <c r="E4" i="33" s="1" a="1"/>
  <c r="D3" i="33"/>
  <c r="D4" i="33" s="1" a="1"/>
  <c r="C3" i="33"/>
  <c r="A36" i="33" s="1"/>
  <c r="A90" i="32"/>
  <c r="B89" i="32"/>
  <c r="A88" i="32"/>
  <c r="B87" i="32"/>
  <c r="A86" i="32"/>
  <c r="B85" i="32"/>
  <c r="A84" i="32"/>
  <c r="B83" i="32"/>
  <c r="A82" i="32"/>
  <c r="B81" i="32"/>
  <c r="A80" i="32"/>
  <c r="B79" i="32"/>
  <c r="A78" i="32"/>
  <c r="B77" i="32"/>
  <c r="A76" i="32"/>
  <c r="B75" i="32"/>
  <c r="C62" i="32"/>
  <c r="C58" i="32"/>
  <c r="C56" i="32"/>
  <c r="C55" i="32"/>
  <c r="C51" i="32"/>
  <c r="B49" i="32"/>
  <c r="B48" i="32"/>
  <c r="B47" i="32"/>
  <c r="C39" i="32"/>
  <c r="B40" i="32" s="1"/>
  <c r="C35" i="32"/>
  <c r="C24" i="32"/>
  <c r="B25" i="32" s="1"/>
  <c r="A22" i="32"/>
  <c r="B21" i="32"/>
  <c r="B17" i="32"/>
  <c r="I3" i="32"/>
  <c r="I4" i="32" s="1" a="1"/>
  <c r="H3" i="32"/>
  <c r="A63" i="32" s="1"/>
  <c r="G3" i="32"/>
  <c r="G4" i="32" s="1" a="1"/>
  <c r="F3" i="32"/>
  <c r="A52" i="32" s="1"/>
  <c r="E3" i="32"/>
  <c r="E4" i="32" s="1" a="1"/>
  <c r="D3" i="32"/>
  <c r="D4" i="32" s="1" a="1"/>
  <c r="B33" i="32" s="1"/>
  <c r="C3" i="32"/>
  <c r="A36" i="32" s="1"/>
  <c r="A90" i="31"/>
  <c r="B89" i="31"/>
  <c r="A88" i="31"/>
  <c r="B87" i="31"/>
  <c r="A86" i="31"/>
  <c r="B85" i="31"/>
  <c r="A84" i="31"/>
  <c r="B83" i="31"/>
  <c r="A82" i="31"/>
  <c r="B81" i="31"/>
  <c r="A80" i="31"/>
  <c r="B79" i="31"/>
  <c r="A78" i="31"/>
  <c r="B77" i="31"/>
  <c r="C62" i="31"/>
  <c r="C58" i="31"/>
  <c r="C56" i="31"/>
  <c r="C55" i="31"/>
  <c r="C51" i="31"/>
  <c r="B49" i="31"/>
  <c r="B48" i="31"/>
  <c r="B47" i="31"/>
  <c r="C39" i="31"/>
  <c r="B40" i="31" s="1"/>
  <c r="C35" i="31"/>
  <c r="B33" i="31"/>
  <c r="B32" i="31"/>
  <c r="B31" i="31"/>
  <c r="B30" i="31"/>
  <c r="C24" i="31"/>
  <c r="B25" i="31" s="1"/>
  <c r="A22" i="31"/>
  <c r="B21" i="31"/>
  <c r="B17" i="31"/>
  <c r="I3" i="31"/>
  <c r="I4" i="31" s="1" a="1"/>
  <c r="H3" i="31"/>
  <c r="A63" i="31" s="1"/>
  <c r="G3" i="31"/>
  <c r="G4" i="31" s="1" a="1"/>
  <c r="F3" i="31"/>
  <c r="A52" i="31" s="1"/>
  <c r="E3" i="31"/>
  <c r="E4" i="31" s="1" a="1"/>
  <c r="D3" i="31"/>
  <c r="D4" i="31" s="1" a="1"/>
  <c r="C3" i="31"/>
  <c r="A36" i="31" s="1"/>
  <c r="A90" i="30"/>
  <c r="B89" i="30"/>
  <c r="A88" i="30"/>
  <c r="B87" i="30"/>
  <c r="A86" i="30"/>
  <c r="B85" i="30"/>
  <c r="A84" i="30"/>
  <c r="B83" i="30"/>
  <c r="A82" i="30"/>
  <c r="B81" i="30"/>
  <c r="A80" i="30"/>
  <c r="B79" i="30"/>
  <c r="A78" i="30"/>
  <c r="B77" i="30"/>
  <c r="C62" i="30"/>
  <c r="C58" i="30"/>
  <c r="C56" i="30"/>
  <c r="C55" i="30"/>
  <c r="C51" i="30"/>
  <c r="B49" i="30"/>
  <c r="B48" i="30"/>
  <c r="B47" i="30"/>
  <c r="C39" i="30"/>
  <c r="B40" i="30" s="1"/>
  <c r="C35" i="30"/>
  <c r="B33" i="30"/>
  <c r="C24" i="30"/>
  <c r="B25" i="30" s="1"/>
  <c r="A22" i="30"/>
  <c r="B21" i="30"/>
  <c r="B17" i="30"/>
  <c r="I3" i="30"/>
  <c r="I4" i="30" s="1" a="1"/>
  <c r="A76" i="30" s="1"/>
  <c r="B75" i="30" s="1"/>
  <c r="H3" i="30"/>
  <c r="A63" i="30" s="1"/>
  <c r="G3" i="30"/>
  <c r="G4" i="30" s="1" a="1"/>
  <c r="F3" i="30"/>
  <c r="A52" i="30" s="1"/>
  <c r="E3" i="30"/>
  <c r="E4" i="30" s="1" a="1"/>
  <c r="D3" i="30"/>
  <c r="D4" i="30" s="1" a="1"/>
  <c r="C3" i="30"/>
  <c r="A36" i="30" s="1"/>
  <c r="A90" i="28"/>
  <c r="B89" i="28"/>
  <c r="A88" i="28"/>
  <c r="B87" i="28"/>
  <c r="A86" i="28"/>
  <c r="B85" i="28"/>
  <c r="A84" i="28"/>
  <c r="B83" i="28"/>
  <c r="A82" i="28"/>
  <c r="B81" i="28"/>
  <c r="A80" i="28"/>
  <c r="B79" i="28"/>
  <c r="A78" i="28"/>
  <c r="B77" i="28"/>
  <c r="C62" i="28"/>
  <c r="C58" i="28"/>
  <c r="C56" i="28"/>
  <c r="C55" i="28"/>
  <c r="C51" i="28"/>
  <c r="B49" i="28"/>
  <c r="B48" i="28"/>
  <c r="C39" i="28"/>
  <c r="B40" i="28" s="1"/>
  <c r="C35" i="28"/>
  <c r="C24" i="28"/>
  <c r="B25" i="28" s="1"/>
  <c r="A22" i="28"/>
  <c r="B21" i="28"/>
  <c r="B17" i="28"/>
  <c r="I3" i="28"/>
  <c r="I4" i="28" s="1" a="1"/>
  <c r="H3" i="28"/>
  <c r="A63" i="28" s="1"/>
  <c r="G3" i="28"/>
  <c r="G4" i="28" s="1" a="1"/>
  <c r="F3" i="28"/>
  <c r="A52" i="28" s="1"/>
  <c r="E3" i="28"/>
  <c r="E4" i="28" s="1" a="1"/>
  <c r="D3" i="28"/>
  <c r="D4" i="28" s="1" a="1"/>
  <c r="C3" i="28"/>
  <c r="A36" i="28" s="1"/>
  <c r="A90" i="27"/>
  <c r="B89" i="27"/>
  <c r="A88" i="27"/>
  <c r="B87" i="27"/>
  <c r="A86" i="27"/>
  <c r="B85" i="27"/>
  <c r="A84" i="27"/>
  <c r="B83" i="27"/>
  <c r="A82" i="27"/>
  <c r="B81" i="27"/>
  <c r="A80" i="27"/>
  <c r="B79" i="27"/>
  <c r="A78" i="27"/>
  <c r="B77" i="27"/>
  <c r="C62" i="27"/>
  <c r="C58" i="27"/>
  <c r="C56" i="27"/>
  <c r="C55" i="27"/>
  <c r="C51" i="27"/>
  <c r="C39" i="27"/>
  <c r="B40" i="27" s="1"/>
  <c r="C35" i="27"/>
  <c r="C24" i="27"/>
  <c r="B25" i="27" s="1"/>
  <c r="A22" i="27"/>
  <c r="B21" i="27"/>
  <c r="B17" i="27"/>
  <c r="I3" i="27"/>
  <c r="I4" i="27" s="1" a="1"/>
  <c r="A76" i="27" s="1"/>
  <c r="B75" i="27" s="1"/>
  <c r="H3" i="27"/>
  <c r="A63" i="27" s="1"/>
  <c r="G3" i="27"/>
  <c r="G4" i="27" s="1" a="1"/>
  <c r="F3" i="27"/>
  <c r="A52" i="27" s="1"/>
  <c r="E3" i="27"/>
  <c r="E4" i="27" s="1" a="1"/>
  <c r="D3" i="27"/>
  <c r="D4" i="27" s="1" a="1"/>
  <c r="C3" i="27"/>
  <c r="A36" i="27" s="1"/>
  <c r="A90" i="26"/>
  <c r="B89" i="26"/>
  <c r="A88" i="26"/>
  <c r="B87" i="26"/>
  <c r="A86" i="26"/>
  <c r="B85" i="26"/>
  <c r="A84" i="26"/>
  <c r="B83" i="26"/>
  <c r="A82" i="26"/>
  <c r="B81" i="26"/>
  <c r="A80" i="26"/>
  <c r="B79" i="26"/>
  <c r="A78" i="26"/>
  <c r="B77" i="26"/>
  <c r="A76" i="26"/>
  <c r="B75" i="26"/>
  <c r="C62" i="26"/>
  <c r="C58" i="26"/>
  <c r="C56" i="26"/>
  <c r="C55" i="26"/>
  <c r="C51" i="26"/>
  <c r="C39" i="26"/>
  <c r="B40" i="26" s="1"/>
  <c r="C35" i="26"/>
  <c r="B33" i="26"/>
  <c r="B32" i="26"/>
  <c r="C24" i="26"/>
  <c r="B25" i="26" s="1"/>
  <c r="A22" i="26"/>
  <c r="B21" i="26"/>
  <c r="B17" i="26"/>
  <c r="I3" i="26"/>
  <c r="I4" i="26" s="1" a="1"/>
  <c r="A74" i="26" s="1"/>
  <c r="B73" i="26" s="1"/>
  <c r="H3" i="26"/>
  <c r="A63" i="26" s="1"/>
  <c r="G3" i="26"/>
  <c r="G4" i="26" s="1" a="1"/>
  <c r="F3" i="26"/>
  <c r="A52" i="26" s="1"/>
  <c r="E3" i="26"/>
  <c r="E4" i="26" s="1" a="1"/>
  <c r="D3" i="26"/>
  <c r="D4" i="26" s="1" a="1"/>
  <c r="C3" i="26"/>
  <c r="A36" i="26" s="1"/>
  <c r="A90" i="25"/>
  <c r="B89" i="25"/>
  <c r="A88" i="25"/>
  <c r="B87" i="25"/>
  <c r="A86" i="25"/>
  <c r="B85" i="25"/>
  <c r="A84" i="25"/>
  <c r="B83" i="25"/>
  <c r="A82" i="25"/>
  <c r="B81" i="25"/>
  <c r="A80" i="25"/>
  <c r="B79" i="25"/>
  <c r="A78" i="25"/>
  <c r="B77" i="25"/>
  <c r="A76" i="25"/>
  <c r="B75" i="25"/>
  <c r="A74" i="25"/>
  <c r="B73" i="25"/>
  <c r="C62" i="25"/>
  <c r="C58" i="25"/>
  <c r="C56" i="25"/>
  <c r="C55" i="25"/>
  <c r="C51" i="25"/>
  <c r="C39" i="25"/>
  <c r="B40" i="25" s="1"/>
  <c r="C35" i="25"/>
  <c r="B33" i="25"/>
  <c r="B32" i="25"/>
  <c r="C24" i="25"/>
  <c r="B25" i="25" s="1"/>
  <c r="A22" i="25"/>
  <c r="B21" i="25"/>
  <c r="B17" i="25"/>
  <c r="I3" i="25"/>
  <c r="I4" i="25" s="1" a="1"/>
  <c r="H3" i="25"/>
  <c r="A63" i="25" s="1"/>
  <c r="G3" i="25"/>
  <c r="G4" i="25" s="1" a="1"/>
  <c r="F3" i="25"/>
  <c r="A52" i="25" s="1"/>
  <c r="E3" i="25"/>
  <c r="E4" i="25" s="1" a="1"/>
  <c r="D3" i="25"/>
  <c r="D4" i="25" s="1" a="1"/>
  <c r="B31" i="25" s="1"/>
  <c r="C3" i="25"/>
  <c r="A36" i="25" s="1"/>
  <c r="A90" i="24"/>
  <c r="B89" i="24"/>
  <c r="A88" i="24"/>
  <c r="B87" i="24"/>
  <c r="A86" i="24"/>
  <c r="B85" i="24"/>
  <c r="A84" i="24"/>
  <c r="B83" i="24"/>
  <c r="A82" i="24"/>
  <c r="B81" i="24"/>
  <c r="A80" i="24"/>
  <c r="B79" i="24"/>
  <c r="A78" i="24"/>
  <c r="B77" i="24"/>
  <c r="A76" i="24"/>
  <c r="B75" i="24"/>
  <c r="C62" i="24"/>
  <c r="C58" i="24"/>
  <c r="C56" i="24"/>
  <c r="C55" i="24"/>
  <c r="C51" i="24"/>
  <c r="B49" i="24"/>
  <c r="B48" i="24"/>
  <c r="B47" i="24"/>
  <c r="C39" i="24"/>
  <c r="B40" i="24" s="1"/>
  <c r="C35" i="24"/>
  <c r="C24" i="24"/>
  <c r="B25" i="24" s="1"/>
  <c r="A22" i="24"/>
  <c r="B21" i="24"/>
  <c r="B17" i="24"/>
  <c r="I3" i="24"/>
  <c r="I4" i="24" s="1" a="1"/>
  <c r="H3" i="24"/>
  <c r="A63" i="24" s="1"/>
  <c r="G3" i="24"/>
  <c r="G4" i="24" s="1" a="1"/>
  <c r="F3" i="24"/>
  <c r="A52" i="24" s="1"/>
  <c r="E3" i="24"/>
  <c r="E4" i="24" s="1" a="1"/>
  <c r="D3" i="24"/>
  <c r="D4" i="24" s="1" a="1"/>
  <c r="C3" i="24"/>
  <c r="A36" i="24" s="1"/>
  <c r="A90" i="23"/>
  <c r="B89" i="23"/>
  <c r="A88" i="23"/>
  <c r="B87" i="23"/>
  <c r="A86" i="23"/>
  <c r="B85" i="23"/>
  <c r="A84" i="23"/>
  <c r="B83" i="23"/>
  <c r="A82" i="23"/>
  <c r="B81" i="23"/>
  <c r="A80" i="23"/>
  <c r="B79" i="23"/>
  <c r="A78" i="23"/>
  <c r="B77" i="23"/>
  <c r="A76" i="23"/>
  <c r="B75" i="23"/>
  <c r="C62" i="23"/>
  <c r="C58" i="23"/>
  <c r="C56" i="23"/>
  <c r="C55" i="23"/>
  <c r="C51" i="23"/>
  <c r="B49" i="23"/>
  <c r="B48" i="23"/>
  <c r="B47" i="23"/>
  <c r="C39" i="23"/>
  <c r="B40" i="23" s="1"/>
  <c r="C35" i="23"/>
  <c r="C24" i="23"/>
  <c r="B25" i="23" s="1"/>
  <c r="A22" i="23"/>
  <c r="B21" i="23"/>
  <c r="B17" i="23"/>
  <c r="I3" i="23"/>
  <c r="I4" i="23" s="1" a="1"/>
  <c r="H3" i="23"/>
  <c r="A63" i="23" s="1"/>
  <c r="G3" i="23"/>
  <c r="G4" i="23" s="1" a="1"/>
  <c r="F3" i="23"/>
  <c r="A52" i="23" s="1"/>
  <c r="E3" i="23"/>
  <c r="E4" i="23" s="1" a="1"/>
  <c r="D3" i="23"/>
  <c r="D4" i="23" s="1" a="1"/>
  <c r="C3" i="23"/>
  <c r="A36" i="23" s="1"/>
  <c r="A90" i="22"/>
  <c r="B89" i="22"/>
  <c r="A88" i="22"/>
  <c r="B87" i="22"/>
  <c r="A86" i="22"/>
  <c r="B85" i="22"/>
  <c r="A84" i="22"/>
  <c r="B83" i="22"/>
  <c r="A82" i="22"/>
  <c r="B81" i="22"/>
  <c r="A80" i="22"/>
  <c r="B79" i="22"/>
  <c r="A78" i="22"/>
  <c r="B77" i="22"/>
  <c r="A76" i="22"/>
  <c r="B75" i="22"/>
  <c r="C62" i="22"/>
  <c r="C58" i="22"/>
  <c r="C56" i="22"/>
  <c r="C55" i="22"/>
  <c r="C51" i="22"/>
  <c r="B49" i="22"/>
  <c r="B48" i="22"/>
  <c r="C39" i="22"/>
  <c r="B40" i="22" s="1"/>
  <c r="C35" i="22"/>
  <c r="B33" i="22"/>
  <c r="B32" i="22"/>
  <c r="C24" i="22"/>
  <c r="B25" i="22" s="1"/>
  <c r="A22" i="22"/>
  <c r="B21" i="22"/>
  <c r="B17" i="22"/>
  <c r="I3" i="22"/>
  <c r="I4" i="22" s="1" a="1"/>
  <c r="H3" i="22"/>
  <c r="A63" i="22" s="1"/>
  <c r="G3" i="22"/>
  <c r="G4" i="22" s="1" a="1"/>
  <c r="F3" i="22"/>
  <c r="A52" i="22" s="1"/>
  <c r="E3" i="22"/>
  <c r="E4" i="22" s="1" a="1"/>
  <c r="D3" i="22"/>
  <c r="D4" i="22" s="1" a="1"/>
  <c r="C3" i="22"/>
  <c r="A36" i="22" s="1"/>
  <c r="A90" i="21"/>
  <c r="B89" i="21"/>
  <c r="A88" i="21"/>
  <c r="B87" i="21"/>
  <c r="A86" i="21"/>
  <c r="B85" i="21"/>
  <c r="A84" i="21"/>
  <c r="B83" i="21"/>
  <c r="A82" i="21"/>
  <c r="B81" i="21"/>
  <c r="A80" i="21"/>
  <c r="B79" i="21"/>
  <c r="A78" i="21"/>
  <c r="B77" i="21"/>
  <c r="A76" i="21"/>
  <c r="B75" i="21"/>
  <c r="C62" i="21"/>
  <c r="C58" i="21"/>
  <c r="C56" i="21"/>
  <c r="C55" i="21"/>
  <c r="C51" i="21"/>
  <c r="B49" i="21"/>
  <c r="B48" i="21"/>
  <c r="C39" i="21"/>
  <c r="B40" i="21" s="1"/>
  <c r="C35" i="21"/>
  <c r="B33" i="21"/>
  <c r="C24" i="21"/>
  <c r="B25" i="21" s="1"/>
  <c r="A22" i="21"/>
  <c r="B21" i="21"/>
  <c r="B17" i="21"/>
  <c r="I3" i="21"/>
  <c r="I4" i="21" s="1" a="1"/>
  <c r="H3" i="21"/>
  <c r="A63" i="21" s="1"/>
  <c r="G3" i="21"/>
  <c r="G4" i="21" s="1" a="1"/>
  <c r="F3" i="21"/>
  <c r="A52" i="21" s="1"/>
  <c r="E3" i="21"/>
  <c r="E4" i="21" s="1" a="1"/>
  <c r="B47" i="21" s="1"/>
  <c r="D3" i="21"/>
  <c r="D4" i="21" s="1" a="1"/>
  <c r="C3" i="21"/>
  <c r="A36" i="21" s="1"/>
  <c r="A90" i="20"/>
  <c r="B89" i="20"/>
  <c r="A88" i="20"/>
  <c r="B87" i="20"/>
  <c r="A86" i="20"/>
  <c r="B85" i="20"/>
  <c r="A84" i="20"/>
  <c r="B83" i="20"/>
  <c r="A82" i="20"/>
  <c r="B81" i="20"/>
  <c r="A80" i="20"/>
  <c r="B79" i="20"/>
  <c r="A78" i="20"/>
  <c r="B77" i="20"/>
  <c r="A76" i="20"/>
  <c r="B75" i="20"/>
  <c r="C62" i="20"/>
  <c r="C58" i="20"/>
  <c r="C56" i="20"/>
  <c r="C55" i="20"/>
  <c r="C51" i="20"/>
  <c r="B49" i="20"/>
  <c r="B48" i="20"/>
  <c r="B47" i="20"/>
  <c r="C39" i="20"/>
  <c r="B40" i="20" s="1"/>
  <c r="C35" i="20"/>
  <c r="B33" i="20"/>
  <c r="C24" i="20"/>
  <c r="B25" i="20" s="1"/>
  <c r="A22" i="20"/>
  <c r="B21" i="20"/>
  <c r="B17" i="20"/>
  <c r="I3" i="20"/>
  <c r="I4" i="20" s="1" a="1"/>
  <c r="H3" i="20"/>
  <c r="A63" i="20" s="1"/>
  <c r="G3" i="20"/>
  <c r="G4" i="20" s="1" a="1"/>
  <c r="F3" i="20"/>
  <c r="A52" i="20" s="1"/>
  <c r="E3" i="20"/>
  <c r="E4" i="20" s="1" a="1"/>
  <c r="B46" i="20" s="1"/>
  <c r="D3" i="20"/>
  <c r="D4" i="20" s="1" a="1"/>
  <c r="C3" i="20"/>
  <c r="A36" i="20" s="1"/>
  <c r="A90" i="19"/>
  <c r="B89" i="19"/>
  <c r="A88" i="19"/>
  <c r="B87" i="19"/>
  <c r="A86" i="19"/>
  <c r="B85" i="19"/>
  <c r="A84" i="19"/>
  <c r="B83" i="19"/>
  <c r="A82" i="19"/>
  <c r="B81" i="19"/>
  <c r="A80" i="19"/>
  <c r="B79" i="19"/>
  <c r="A78" i="19"/>
  <c r="B77" i="19"/>
  <c r="A76" i="19"/>
  <c r="B75" i="19"/>
  <c r="C62" i="19"/>
  <c r="C58" i="19"/>
  <c r="C56" i="19"/>
  <c r="C55" i="19"/>
  <c r="C51" i="19"/>
  <c r="B49" i="19"/>
  <c r="B48" i="19"/>
  <c r="B47" i="19"/>
  <c r="B46" i="19"/>
  <c r="C39" i="19"/>
  <c r="B40" i="19" s="1"/>
  <c r="C35" i="19"/>
  <c r="B33" i="19"/>
  <c r="B32" i="19"/>
  <c r="B31" i="19"/>
  <c r="C24" i="19"/>
  <c r="B25" i="19" s="1"/>
  <c r="A22" i="19"/>
  <c r="B21" i="19"/>
  <c r="B17" i="19"/>
  <c r="I3" i="19"/>
  <c r="I4" i="19" s="1" a="1"/>
  <c r="H3" i="19"/>
  <c r="A63" i="19" s="1"/>
  <c r="G3" i="19"/>
  <c r="G4" i="19" s="1" a="1"/>
  <c r="F3" i="19"/>
  <c r="A52" i="19" s="1"/>
  <c r="E3" i="19"/>
  <c r="E4" i="19" s="1" a="1"/>
  <c r="D3" i="19"/>
  <c r="D4" i="19" s="1" a="1"/>
  <c r="C3" i="19"/>
  <c r="A36" i="19" s="1"/>
  <c r="A90" i="8"/>
  <c r="B89" i="8"/>
  <c r="A88" i="8"/>
  <c r="B87" i="8"/>
  <c r="A86" i="8"/>
  <c r="B85" i="8"/>
  <c r="A84" i="8"/>
  <c r="B83" i="8"/>
  <c r="A82" i="8"/>
  <c r="B81" i="8"/>
  <c r="A80" i="8"/>
  <c r="B79" i="8"/>
  <c r="A78" i="8"/>
  <c r="B77" i="8"/>
  <c r="A76" i="8"/>
  <c r="B75" i="8"/>
  <c r="A74" i="8"/>
  <c r="B73" i="8"/>
  <c r="A72" i="8"/>
  <c r="B71" i="8"/>
  <c r="C62" i="8"/>
  <c r="C58" i="8"/>
  <c r="C56" i="8"/>
  <c r="C55" i="8"/>
  <c r="C51" i="8"/>
  <c r="B49" i="8"/>
  <c r="B48" i="8"/>
  <c r="B47" i="8"/>
  <c r="B46" i="8"/>
  <c r="C39" i="8"/>
  <c r="B40" i="8" s="1"/>
  <c r="C35" i="8"/>
  <c r="B33" i="8"/>
  <c r="B32" i="8"/>
  <c r="B31" i="8"/>
  <c r="B30" i="8"/>
  <c r="C24" i="8"/>
  <c r="B25" i="8" s="1"/>
  <c r="A22" i="8"/>
  <c r="B21" i="8"/>
  <c r="A90" i="9"/>
  <c r="B89" i="9"/>
  <c r="A88" i="9"/>
  <c r="B87" i="9"/>
  <c r="A86" i="9"/>
  <c r="B85" i="9"/>
  <c r="A84" i="9"/>
  <c r="B83" i="9"/>
  <c r="A82" i="9"/>
  <c r="B81" i="9"/>
  <c r="A80" i="9"/>
  <c r="B79" i="9"/>
  <c r="A78" i="9"/>
  <c r="B77" i="9"/>
  <c r="A76" i="9"/>
  <c r="B75" i="9"/>
  <c r="A74" i="9"/>
  <c r="B73" i="9"/>
  <c r="C62" i="9"/>
  <c r="C58" i="9"/>
  <c r="C56" i="9"/>
  <c r="C55" i="9"/>
  <c r="C51" i="9"/>
  <c r="B49" i="9"/>
  <c r="B48" i="9"/>
  <c r="C39" i="9"/>
  <c r="B40" i="9" s="1"/>
  <c r="C35" i="9"/>
  <c r="B33" i="9"/>
  <c r="B32" i="9"/>
  <c r="B31" i="9"/>
  <c r="C24" i="9"/>
  <c r="B25" i="9" s="1"/>
  <c r="A22" i="9"/>
  <c r="B21" i="9"/>
  <c r="C62" i="10"/>
  <c r="C58" i="10"/>
  <c r="C56" i="10"/>
  <c r="C55" i="10"/>
  <c r="C51" i="10"/>
  <c r="B49" i="10"/>
  <c r="B48" i="10"/>
  <c r="B47" i="10"/>
  <c r="C39" i="10"/>
  <c r="B40" i="10" s="1"/>
  <c r="C35" i="10"/>
  <c r="C24" i="10"/>
  <c r="B25" i="10" s="1"/>
  <c r="A22" i="10"/>
  <c r="B21" i="10"/>
  <c r="A90" i="11"/>
  <c r="B89" i="11"/>
  <c r="A88" i="11"/>
  <c r="B87" i="11"/>
  <c r="A86" i="11"/>
  <c r="B85" i="11"/>
  <c r="A84" i="11"/>
  <c r="B83" i="11"/>
  <c r="A82" i="11"/>
  <c r="B81" i="11"/>
  <c r="A80" i="11"/>
  <c r="B79" i="11"/>
  <c r="A78" i="11"/>
  <c r="B77" i="11"/>
  <c r="C62" i="11"/>
  <c r="C58" i="11"/>
  <c r="C56" i="11"/>
  <c r="C55" i="11"/>
  <c r="C51" i="11"/>
  <c r="B49" i="11"/>
  <c r="B48" i="11"/>
  <c r="C39" i="11"/>
  <c r="B40" i="11" s="1"/>
  <c r="C35" i="11"/>
  <c r="B33" i="11"/>
  <c r="B32" i="11"/>
  <c r="B31" i="11"/>
  <c r="C24" i="11"/>
  <c r="B25" i="11" s="1"/>
  <c r="A22" i="11"/>
  <c r="B21" i="11"/>
  <c r="A90" i="12"/>
  <c r="B89" i="12"/>
  <c r="A88" i="12"/>
  <c r="B87" i="12"/>
  <c r="A86" i="12"/>
  <c r="B85" i="12"/>
  <c r="A84" i="12"/>
  <c r="B83" i="12"/>
  <c r="A82" i="12"/>
  <c r="B81" i="12"/>
  <c r="A80" i="12"/>
  <c r="B79" i="12"/>
  <c r="A78" i="12"/>
  <c r="B77" i="12"/>
  <c r="A76" i="12"/>
  <c r="B75" i="12"/>
  <c r="C62" i="12"/>
  <c r="C58" i="12"/>
  <c r="C56" i="12"/>
  <c r="C55" i="12"/>
  <c r="C51" i="12"/>
  <c r="B49" i="12"/>
  <c r="B48" i="12"/>
  <c r="B47" i="12"/>
  <c r="B46" i="12"/>
  <c r="C39" i="12"/>
  <c r="B40" i="12" s="1"/>
  <c r="C35" i="12"/>
  <c r="B33" i="12"/>
  <c r="C24" i="12"/>
  <c r="B25" i="12" s="1"/>
  <c r="A22" i="12"/>
  <c r="B21" i="12"/>
  <c r="A90" i="13"/>
  <c r="B89" i="13"/>
  <c r="A88" i="13"/>
  <c r="B87" i="13"/>
  <c r="A86" i="13"/>
  <c r="B85" i="13"/>
  <c r="A84" i="13"/>
  <c r="B83" i="13"/>
  <c r="A82" i="13"/>
  <c r="B81" i="13"/>
  <c r="A80" i="13"/>
  <c r="B79" i="13"/>
  <c r="A78" i="13"/>
  <c r="B77" i="13"/>
  <c r="A76" i="13"/>
  <c r="B75" i="13"/>
  <c r="A74" i="13"/>
  <c r="B73" i="13"/>
  <c r="A72" i="13"/>
  <c r="B71" i="13"/>
  <c r="C62" i="13"/>
  <c r="C58" i="13"/>
  <c r="C56" i="13"/>
  <c r="C55" i="13"/>
  <c r="C51" i="13"/>
  <c r="B49" i="13"/>
  <c r="B48" i="13"/>
  <c r="B47" i="13"/>
  <c r="B46" i="13"/>
  <c r="C39" i="13"/>
  <c r="B40" i="13" s="1"/>
  <c r="C35" i="13"/>
  <c r="B33" i="13"/>
  <c r="B32" i="13"/>
  <c r="C24" i="13"/>
  <c r="B25" i="13" s="1"/>
  <c r="A22" i="13"/>
  <c r="B21" i="13"/>
  <c r="A90" i="14"/>
  <c r="B89" i="14"/>
  <c r="A88" i="14"/>
  <c r="B87" i="14"/>
  <c r="A86" i="14"/>
  <c r="B85" i="14"/>
  <c r="A84" i="14"/>
  <c r="B83" i="14"/>
  <c r="C62" i="14"/>
  <c r="C58" i="14"/>
  <c r="C56" i="14"/>
  <c r="C55" i="14"/>
  <c r="C51" i="14"/>
  <c r="C39" i="14"/>
  <c r="B40" i="14" s="1"/>
  <c r="C35" i="14"/>
  <c r="C24" i="14"/>
  <c r="B25" i="14" s="1"/>
  <c r="A22" i="14"/>
  <c r="B21" i="14"/>
  <c r="A90" i="15"/>
  <c r="B89" i="15"/>
  <c r="A88" i="15"/>
  <c r="B87" i="15"/>
  <c r="A86" i="15"/>
  <c r="B85" i="15"/>
  <c r="A84" i="15"/>
  <c r="B83" i="15"/>
  <c r="A82" i="15"/>
  <c r="B81" i="15"/>
  <c r="A80" i="15"/>
  <c r="B79" i="15"/>
  <c r="A78" i="15"/>
  <c r="B77" i="15"/>
  <c r="A76" i="15"/>
  <c r="B75" i="15"/>
  <c r="A74" i="15"/>
  <c r="B73" i="15"/>
  <c r="C62" i="15"/>
  <c r="C58" i="15"/>
  <c r="C56" i="15"/>
  <c r="C55" i="15"/>
  <c r="C51" i="15"/>
  <c r="C39" i="15"/>
  <c r="B40" i="15" s="1"/>
  <c r="C35" i="15"/>
  <c r="B33" i="15"/>
  <c r="B32" i="15"/>
  <c r="B31" i="15"/>
  <c r="C24" i="15"/>
  <c r="B25" i="15" s="1"/>
  <c r="A22" i="15"/>
  <c r="B21" i="15"/>
  <c r="A90" i="16"/>
  <c r="B89" i="16"/>
  <c r="A88" i="16"/>
  <c r="B87" i="16"/>
  <c r="A86" i="16"/>
  <c r="B85" i="16"/>
  <c r="A84" i="16"/>
  <c r="B83" i="16"/>
  <c r="A82" i="16"/>
  <c r="B81" i="16"/>
  <c r="A80" i="16"/>
  <c r="B79" i="16"/>
  <c r="A78" i="16"/>
  <c r="B77" i="16"/>
  <c r="A76" i="16"/>
  <c r="B75" i="16"/>
  <c r="C62" i="16"/>
  <c r="C58" i="16"/>
  <c r="C56" i="16"/>
  <c r="C55" i="16"/>
  <c r="C51" i="16"/>
  <c r="B49" i="16"/>
  <c r="B48" i="16"/>
  <c r="B47" i="16"/>
  <c r="C39" i="16"/>
  <c r="B40" i="16" s="1"/>
  <c r="C35" i="16"/>
  <c r="C24" i="16"/>
  <c r="B25" i="16" s="1"/>
  <c r="A22" i="16"/>
  <c r="B21" i="16"/>
  <c r="A90" i="17"/>
  <c r="B89" i="17"/>
  <c r="A88" i="17"/>
  <c r="B87" i="17"/>
  <c r="A86" i="17"/>
  <c r="B85" i="17"/>
  <c r="A84" i="17"/>
  <c r="B83" i="17"/>
  <c r="C62" i="17"/>
  <c r="C58" i="17"/>
  <c r="C56" i="17"/>
  <c r="C55" i="17"/>
  <c r="C51" i="17"/>
  <c r="B49" i="17"/>
  <c r="B48" i="17"/>
  <c r="B47" i="17"/>
  <c r="B46" i="17"/>
  <c r="C39" i="17"/>
  <c r="B40" i="17" s="1"/>
  <c r="C35" i="17"/>
  <c r="B33" i="17"/>
  <c r="B32" i="17"/>
  <c r="B31" i="17"/>
  <c r="B30" i="17"/>
  <c r="C24" i="17"/>
  <c r="B25" i="17" s="1"/>
  <c r="A22" i="17"/>
  <c r="B21" i="17"/>
  <c r="H3" i="18"/>
  <c r="A63" i="18" s="1"/>
  <c r="A90" i="18"/>
  <c r="B89" i="18"/>
  <c r="A88" i="18"/>
  <c r="B87" i="18"/>
  <c r="A86" i="18"/>
  <c r="B85" i="18"/>
  <c r="A84" i="18"/>
  <c r="B83" i="18"/>
  <c r="C62" i="18"/>
  <c r="C58" i="18"/>
  <c r="C56" i="18"/>
  <c r="C55" i="18"/>
  <c r="C51" i="18"/>
  <c r="B49" i="18"/>
  <c r="B48" i="18"/>
  <c r="B47" i="18"/>
  <c r="B46" i="18"/>
  <c r="C39" i="18"/>
  <c r="B40" i="18" s="1"/>
  <c r="C35" i="18"/>
  <c r="B33" i="18"/>
  <c r="B32" i="18"/>
  <c r="B31" i="18"/>
  <c r="C24" i="18"/>
  <c r="B25" i="18" s="1"/>
  <c r="A22" i="18"/>
  <c r="B21" i="18"/>
  <c r="B17" i="18"/>
  <c r="I3" i="18"/>
  <c r="I4" i="18" s="1" a="1"/>
  <c r="G3" i="18"/>
  <c r="G4" i="18" s="1" a="1"/>
  <c r="F3" i="18"/>
  <c r="A52" i="18" s="1"/>
  <c r="E3" i="18"/>
  <c r="E4" i="18" s="1" a="1"/>
  <c r="D3" i="18"/>
  <c r="D4" i="18" s="1" a="1"/>
  <c r="B30" i="18" s="1"/>
  <c r="C3" i="18"/>
  <c r="A36" i="18" s="1"/>
  <c r="B17" i="17"/>
  <c r="I3" i="17"/>
  <c r="I4" i="17" s="1" a="1"/>
  <c r="H3" i="17"/>
  <c r="A63" i="17" s="1"/>
  <c r="G3" i="17"/>
  <c r="G4" i="17" s="1" a="1"/>
  <c r="A59" i="17" s="1"/>
  <c r="F3" i="17"/>
  <c r="A52" i="17" s="1"/>
  <c r="E3" i="17"/>
  <c r="E4" i="17" s="1" a="1"/>
  <c r="D3" i="17"/>
  <c r="D4" i="17" s="1" a="1"/>
  <c r="C3" i="17"/>
  <c r="A36" i="17" s="1"/>
  <c r="B17" i="16"/>
  <c r="I3" i="16"/>
  <c r="I4" i="16" s="1" a="1"/>
  <c r="H3" i="16"/>
  <c r="A63" i="16" s="1"/>
  <c r="G3" i="16"/>
  <c r="G4" i="16" s="1" a="1"/>
  <c r="A59" i="16" s="1"/>
  <c r="F3" i="16"/>
  <c r="A52" i="16" s="1"/>
  <c r="E3" i="16"/>
  <c r="E4" i="16" s="1" a="1"/>
  <c r="D3" i="16"/>
  <c r="D4" i="16" s="1" a="1"/>
  <c r="C3" i="16"/>
  <c r="A36" i="16" s="1"/>
  <c r="B17" i="15"/>
  <c r="I3" i="15"/>
  <c r="I4" i="15" s="1" a="1"/>
  <c r="H3" i="15"/>
  <c r="A63" i="15" s="1"/>
  <c r="G3" i="15"/>
  <c r="G4" i="15" s="1" a="1"/>
  <c r="A59" i="15" s="1"/>
  <c r="F3" i="15"/>
  <c r="A52" i="15" s="1"/>
  <c r="E3" i="15"/>
  <c r="E4" i="15" s="1" a="1"/>
  <c r="D3" i="15"/>
  <c r="D4" i="15" s="1" a="1"/>
  <c r="C3" i="15"/>
  <c r="A36" i="15" s="1"/>
  <c r="B17" i="14"/>
  <c r="I3" i="14"/>
  <c r="I4" i="14" s="1" a="1"/>
  <c r="H3" i="14"/>
  <c r="A63" i="14" s="1"/>
  <c r="G3" i="14"/>
  <c r="G4" i="14" s="1" a="1"/>
  <c r="A59" i="14" s="1"/>
  <c r="F3" i="14"/>
  <c r="A52" i="14" s="1"/>
  <c r="E3" i="14"/>
  <c r="E4" i="14" s="1" a="1"/>
  <c r="D3" i="14"/>
  <c r="D4" i="14" s="1" a="1"/>
  <c r="C3" i="14"/>
  <c r="A36" i="14" s="1"/>
  <c r="B17" i="13"/>
  <c r="I3" i="13"/>
  <c r="I4" i="13" s="1" a="1"/>
  <c r="H3" i="13"/>
  <c r="A63" i="13" s="1"/>
  <c r="G3" i="13"/>
  <c r="G4" i="13" s="1" a="1"/>
  <c r="A59" i="13" s="1"/>
  <c r="F3" i="13"/>
  <c r="A52" i="13" s="1"/>
  <c r="E3" i="13"/>
  <c r="E4" i="13" s="1" a="1"/>
  <c r="D3" i="13"/>
  <c r="D4" i="13" s="1" a="1"/>
  <c r="C3" i="13"/>
  <c r="A36" i="13" s="1"/>
  <c r="B17" i="12"/>
  <c r="I3" i="12"/>
  <c r="I4" i="12" s="1" a="1"/>
  <c r="H3" i="12"/>
  <c r="A63" i="12" s="1"/>
  <c r="G3" i="12"/>
  <c r="G4" i="12" s="1" a="1"/>
  <c r="A59" i="12" s="1"/>
  <c r="F3" i="12"/>
  <c r="A52" i="12" s="1"/>
  <c r="E3" i="12"/>
  <c r="E4" i="12" s="1" a="1"/>
  <c r="D3" i="12"/>
  <c r="D4" i="12" s="1" a="1"/>
  <c r="C3" i="12"/>
  <c r="A36" i="12" s="1"/>
  <c r="B17" i="11"/>
  <c r="I3" i="11"/>
  <c r="I4" i="11" s="1" a="1"/>
  <c r="H3" i="11"/>
  <c r="A63" i="11" s="1"/>
  <c r="G3" i="11"/>
  <c r="G4" i="11" s="1" a="1"/>
  <c r="A59" i="11" s="1"/>
  <c r="F3" i="11"/>
  <c r="A52" i="11" s="1"/>
  <c r="E3" i="11"/>
  <c r="E4" i="11" s="1" a="1"/>
  <c r="D3" i="11"/>
  <c r="D4" i="11" s="1" a="1"/>
  <c r="C3" i="11"/>
  <c r="A36" i="11" s="1"/>
  <c r="D3" i="8"/>
  <c r="A90" i="6"/>
  <c r="B89" i="6"/>
  <c r="A88" i="6"/>
  <c r="B87" i="6"/>
  <c r="A86" i="6"/>
  <c r="B85" i="6"/>
  <c r="A84" i="6"/>
  <c r="B83" i="6"/>
  <c r="A82" i="6"/>
  <c r="B81" i="6"/>
  <c r="A80" i="6"/>
  <c r="B79" i="6"/>
  <c r="A78" i="6"/>
  <c r="B77" i="6"/>
  <c r="A76" i="6"/>
  <c r="B75" i="6"/>
  <c r="B17" i="10"/>
  <c r="I3" i="10"/>
  <c r="I4" i="10" s="1" a="1"/>
  <c r="H3" i="10"/>
  <c r="A63" i="10" s="1"/>
  <c r="G3" i="10"/>
  <c r="G4" i="10" s="1" a="1"/>
  <c r="A59" i="10" s="1"/>
  <c r="F3" i="10"/>
  <c r="A52" i="10" s="1"/>
  <c r="E3" i="10"/>
  <c r="E4" i="10" s="1" a="1"/>
  <c r="D3" i="10"/>
  <c r="D4" i="10" s="1" a="1"/>
  <c r="C3" i="10"/>
  <c r="A36" i="10" s="1"/>
  <c r="B17" i="9"/>
  <c r="I3" i="9"/>
  <c r="I4" i="9" s="1" a="1"/>
  <c r="H3" i="9"/>
  <c r="A63" i="9" s="1"/>
  <c r="G3" i="9"/>
  <c r="G4" i="9" s="1" a="1"/>
  <c r="A59" i="9" s="1"/>
  <c r="F3" i="9"/>
  <c r="A52" i="9" s="1"/>
  <c r="E3" i="9"/>
  <c r="E4" i="9" s="1" a="1"/>
  <c r="D3" i="9"/>
  <c r="D4" i="9" s="1" a="1"/>
  <c r="C3" i="9"/>
  <c r="A36" i="9" s="1"/>
  <c r="H3" i="6"/>
  <c r="A63" i="6" s="1"/>
  <c r="B17" i="8"/>
  <c r="I3" i="8"/>
  <c r="I4" i="8" s="1" a="1"/>
  <c r="H3" i="8"/>
  <c r="A63" i="8" s="1"/>
  <c r="G3" i="8"/>
  <c r="G4" i="8" s="1" a="1"/>
  <c r="A59" i="8" s="1"/>
  <c r="F3" i="8"/>
  <c r="A52" i="8" s="1"/>
  <c r="E3" i="8"/>
  <c r="D4" i="8" a="1"/>
  <c r="C3" i="8"/>
  <c r="A36" i="8" s="1"/>
  <c r="C62" i="6"/>
  <c r="C58" i="6"/>
  <c r="C56" i="6"/>
  <c r="C55" i="6"/>
  <c r="B49" i="6"/>
  <c r="B48" i="6"/>
  <c r="C51" i="6"/>
  <c r="C39" i="6"/>
  <c r="C35" i="6"/>
  <c r="C24" i="6"/>
  <c r="A22" i="6"/>
  <c r="B33" i="6"/>
  <c r="B32" i="6"/>
  <c r="B31" i="6"/>
  <c r="B21" i="6"/>
  <c r="B17" i="6"/>
  <c r="G3" i="6"/>
  <c r="G4" i="6" s="1" a="1"/>
  <c r="I3" i="6"/>
  <c r="I4" i="6" s="1" a="1"/>
  <c r="E3" i="6"/>
  <c r="E4" i="6" s="1" a="1"/>
  <c r="F3" i="6"/>
  <c r="A52" i="6" s="1"/>
  <c r="D3" i="6"/>
  <c r="D4" i="6" s="1" a="1"/>
  <c r="C3" i="6"/>
  <c r="A36" i="6" s="1"/>
  <c r="D25" i="7"/>
  <c r="C25" i="7"/>
  <c r="D24" i="7"/>
  <c r="C24" i="7"/>
  <c r="D23" i="7"/>
  <c r="C23" i="7"/>
  <c r="D22" i="7"/>
  <c r="C22" i="7"/>
  <c r="C20" i="7"/>
  <c r="D19" i="7"/>
  <c r="C19" i="7"/>
  <c r="D18" i="7"/>
  <c r="C18" i="7"/>
  <c r="D17" i="7"/>
  <c r="C17" i="7"/>
  <c r="C15" i="7"/>
  <c r="D14" i="7"/>
  <c r="C14" i="7"/>
  <c r="D13" i="7"/>
  <c r="C13" i="7"/>
  <c r="D12" i="7"/>
  <c r="C12" i="7"/>
  <c r="D11" i="7"/>
  <c r="C11" i="7"/>
  <c r="C9" i="7"/>
  <c r="D8" i="7"/>
  <c r="C8" i="7"/>
  <c r="D7" i="7"/>
  <c r="C7" i="7"/>
  <c r="D6" i="7"/>
  <c r="C6" i="7"/>
  <c r="D5" i="7"/>
  <c r="C5" i="7"/>
  <c r="C3" i="7"/>
  <c r="A74" i="36" l="1"/>
  <c r="B73" i="36" s="1"/>
  <c r="A72" i="36"/>
  <c r="B71" i="36" s="1"/>
  <c r="A70" i="36"/>
  <c r="B69" i="36" s="1"/>
  <c r="B28" i="36"/>
  <c r="D4" i="36"/>
  <c r="B27" i="36" s="1"/>
  <c r="B44" i="36"/>
  <c r="B43" i="36"/>
  <c r="B42" i="36"/>
  <c r="A59" i="36"/>
  <c r="G4" i="36"/>
  <c r="A57" i="36" s="1"/>
  <c r="A68" i="36"/>
  <c r="B67" i="36" s="1"/>
  <c r="I4" i="36"/>
  <c r="A66" i="36" s="1"/>
  <c r="B65" i="36" s="1"/>
  <c r="D4" i="35"/>
  <c r="B27" i="35" s="1"/>
  <c r="B28" i="35"/>
  <c r="B44" i="35"/>
  <c r="B43" i="35"/>
  <c r="B42" i="35"/>
  <c r="A59" i="35"/>
  <c r="G4" i="35"/>
  <c r="A57" i="35" s="1"/>
  <c r="A74" i="35"/>
  <c r="B73" i="35" s="1"/>
  <c r="A72" i="35"/>
  <c r="B71" i="35" s="1"/>
  <c r="A70" i="35"/>
  <c r="B69" i="35" s="1"/>
  <c r="A68" i="35"/>
  <c r="B67" i="35" s="1"/>
  <c r="I4" i="35"/>
  <c r="A66" i="35" s="1"/>
  <c r="B65" i="35" s="1"/>
  <c r="B49" i="34"/>
  <c r="B48" i="34"/>
  <c r="B47" i="34"/>
  <c r="B46" i="34"/>
  <c r="B45" i="34"/>
  <c r="B44" i="34"/>
  <c r="B43" i="34"/>
  <c r="E4" i="34"/>
  <c r="B42" i="34" s="1"/>
  <c r="A59" i="34"/>
  <c r="G4" i="34"/>
  <c r="A57" i="34" s="1"/>
  <c r="A74" i="34"/>
  <c r="B73" i="34" s="1"/>
  <c r="A72" i="34"/>
  <c r="B71" i="34" s="1"/>
  <c r="A70" i="34"/>
  <c r="B69" i="34" s="1"/>
  <c r="A68" i="34"/>
  <c r="B67" i="34" s="1"/>
  <c r="I4" i="34"/>
  <c r="A66" i="34" s="1"/>
  <c r="B65" i="34" s="1"/>
  <c r="B49" i="33"/>
  <c r="B48" i="33"/>
  <c r="B47" i="33"/>
  <c r="B33" i="33"/>
  <c r="B32" i="33"/>
  <c r="B31" i="33"/>
  <c r="B30" i="33"/>
  <c r="B29" i="33"/>
  <c r="B28" i="33"/>
  <c r="D4" i="33"/>
  <c r="B27" i="33" s="1"/>
  <c r="B46" i="33"/>
  <c r="B45" i="33"/>
  <c r="B44" i="33"/>
  <c r="B43" i="33"/>
  <c r="E4" i="33"/>
  <c r="B42" i="33" s="1"/>
  <c r="A59" i="33"/>
  <c r="G4" i="33"/>
  <c r="A57" i="33" s="1"/>
  <c r="A74" i="33"/>
  <c r="B73" i="33" s="1"/>
  <c r="A72" i="33"/>
  <c r="B71" i="33" s="1"/>
  <c r="A70" i="33"/>
  <c r="B69" i="33" s="1"/>
  <c r="A68" i="33"/>
  <c r="B67" i="33" s="1"/>
  <c r="I4" i="33"/>
  <c r="A66" i="33" s="1"/>
  <c r="B65" i="33" s="1"/>
  <c r="D4" i="32"/>
  <c r="B27" i="32" s="1"/>
  <c r="B32" i="32"/>
  <c r="B31" i="32"/>
  <c r="B30" i="32"/>
  <c r="B29" i="32"/>
  <c r="B28" i="32"/>
  <c r="B46" i="32"/>
  <c r="B45" i="32"/>
  <c r="B44" i="32"/>
  <c r="B43" i="32"/>
  <c r="E4" i="32"/>
  <c r="B42" i="32" s="1"/>
  <c r="A59" i="32"/>
  <c r="G4" i="32"/>
  <c r="A57" i="32" s="1"/>
  <c r="A74" i="32"/>
  <c r="B73" i="32" s="1"/>
  <c r="A72" i="32"/>
  <c r="B71" i="32" s="1"/>
  <c r="A70" i="32"/>
  <c r="B69" i="32" s="1"/>
  <c r="A68" i="32"/>
  <c r="B67" i="32" s="1"/>
  <c r="I4" i="32"/>
  <c r="A66" i="32" s="1"/>
  <c r="B65" i="32" s="1"/>
  <c r="B29" i="31"/>
  <c r="B28" i="31"/>
  <c r="D4" i="31"/>
  <c r="B27" i="31" s="1"/>
  <c r="B46" i="31"/>
  <c r="B45" i="31"/>
  <c r="B44" i="31"/>
  <c r="B43" i="31"/>
  <c r="E4" i="31"/>
  <c r="B42" i="31" s="1"/>
  <c r="A59" i="31"/>
  <c r="G4" i="31"/>
  <c r="A57" i="31" s="1"/>
  <c r="A76" i="31"/>
  <c r="B75" i="31" s="1"/>
  <c r="A74" i="31"/>
  <c r="B73" i="31" s="1"/>
  <c r="A72" i="31"/>
  <c r="B71" i="31" s="1"/>
  <c r="A70" i="31"/>
  <c r="B69" i="31" s="1"/>
  <c r="A68" i="31"/>
  <c r="B67" i="31" s="1"/>
  <c r="I4" i="31"/>
  <c r="A66" i="31" s="1"/>
  <c r="B65" i="31" s="1"/>
  <c r="B32" i="30"/>
  <c r="B31" i="30"/>
  <c r="B30" i="30"/>
  <c r="B29" i="30"/>
  <c r="B28" i="30"/>
  <c r="D4" i="30"/>
  <c r="B27" i="30" s="1"/>
  <c r="B46" i="30"/>
  <c r="B45" i="30"/>
  <c r="B44" i="30"/>
  <c r="B43" i="30"/>
  <c r="E4" i="30"/>
  <c r="B42" i="30" s="1"/>
  <c r="A59" i="30"/>
  <c r="G4" i="30"/>
  <c r="A57" i="30" s="1"/>
  <c r="A74" i="30"/>
  <c r="B73" i="30" s="1"/>
  <c r="A72" i="30"/>
  <c r="B71" i="30" s="1"/>
  <c r="A70" i="30"/>
  <c r="B69" i="30" s="1"/>
  <c r="A68" i="30"/>
  <c r="B67" i="30" s="1"/>
  <c r="I4" i="30"/>
  <c r="A66" i="30" s="1"/>
  <c r="B65" i="30" s="1"/>
  <c r="B33" i="28"/>
  <c r="B32" i="28"/>
  <c r="B31" i="28"/>
  <c r="B30" i="28"/>
  <c r="B29" i="28"/>
  <c r="B28" i="28"/>
  <c r="D4" i="28"/>
  <c r="B27" i="28" s="1"/>
  <c r="B47" i="28"/>
  <c r="B46" i="28"/>
  <c r="B45" i="28"/>
  <c r="B44" i="28"/>
  <c r="B43" i="28"/>
  <c r="E4" i="28"/>
  <c r="B42" i="28" s="1"/>
  <c r="A59" i="28"/>
  <c r="G4" i="28"/>
  <c r="A57" i="28" s="1"/>
  <c r="A76" i="28"/>
  <c r="B75" i="28" s="1"/>
  <c r="A74" i="28"/>
  <c r="B73" i="28" s="1"/>
  <c r="A72" i="28"/>
  <c r="B71" i="28" s="1"/>
  <c r="A70" i="28"/>
  <c r="B69" i="28" s="1"/>
  <c r="A68" i="28"/>
  <c r="B67" i="28" s="1"/>
  <c r="I4" i="28"/>
  <c r="A66" i="28" s="1"/>
  <c r="B65" i="28" s="1"/>
  <c r="B46" i="27"/>
  <c r="B49" i="27"/>
  <c r="B48" i="27"/>
  <c r="B47" i="27"/>
  <c r="B33" i="27"/>
  <c r="B32" i="27"/>
  <c r="B31" i="27"/>
  <c r="B30" i="27"/>
  <c r="B29" i="27"/>
  <c r="B28" i="27"/>
  <c r="D4" i="27"/>
  <c r="B27" i="27" s="1"/>
  <c r="B45" i="27"/>
  <c r="B44" i="27"/>
  <c r="B43" i="27"/>
  <c r="E4" i="27"/>
  <c r="B42" i="27" s="1"/>
  <c r="A59" i="27"/>
  <c r="G4" i="27"/>
  <c r="A57" i="27" s="1"/>
  <c r="A74" i="27"/>
  <c r="B73" i="27" s="1"/>
  <c r="A72" i="27"/>
  <c r="B71" i="27" s="1"/>
  <c r="A70" i="27"/>
  <c r="B69" i="27" s="1"/>
  <c r="A68" i="27"/>
  <c r="B67" i="27" s="1"/>
  <c r="I4" i="27"/>
  <c r="A66" i="27" s="1"/>
  <c r="B65" i="27" s="1"/>
  <c r="B31" i="26"/>
  <c r="B30" i="26"/>
  <c r="B29" i="26"/>
  <c r="B28" i="26"/>
  <c r="D4" i="26"/>
  <c r="B27" i="26" s="1"/>
  <c r="B49" i="26"/>
  <c r="B48" i="26"/>
  <c r="B47" i="26"/>
  <c r="B46" i="26"/>
  <c r="B45" i="26"/>
  <c r="B44" i="26"/>
  <c r="B43" i="26"/>
  <c r="E4" i="26"/>
  <c r="B42" i="26" s="1"/>
  <c r="A59" i="26"/>
  <c r="G4" i="26"/>
  <c r="A57" i="26" s="1"/>
  <c r="A72" i="26"/>
  <c r="B71" i="26" s="1"/>
  <c r="A70" i="26"/>
  <c r="B69" i="26" s="1"/>
  <c r="A68" i="26"/>
  <c r="B67" i="26" s="1"/>
  <c r="I4" i="26"/>
  <c r="A66" i="26" s="1"/>
  <c r="B65" i="26" s="1"/>
  <c r="B49" i="25"/>
  <c r="B48" i="25"/>
  <c r="B47" i="25"/>
  <c r="B46" i="25"/>
  <c r="B45" i="25"/>
  <c r="A72" i="25"/>
  <c r="B71" i="25" s="1"/>
  <c r="A70" i="25"/>
  <c r="B69" i="25" s="1"/>
  <c r="B30" i="25"/>
  <c r="B29" i="25"/>
  <c r="B28" i="25"/>
  <c r="D4" i="25"/>
  <c r="B27" i="25" s="1"/>
  <c r="B44" i="25"/>
  <c r="B43" i="25"/>
  <c r="E4" i="25"/>
  <c r="B42" i="25" s="1"/>
  <c r="A59" i="25"/>
  <c r="G4" i="25"/>
  <c r="A57" i="25" s="1"/>
  <c r="A68" i="25"/>
  <c r="B67" i="25" s="1"/>
  <c r="I4" i="25"/>
  <c r="A66" i="25" s="1"/>
  <c r="B65" i="25" s="1"/>
  <c r="B33" i="24"/>
  <c r="B32" i="24"/>
  <c r="B31" i="24"/>
  <c r="B30" i="24"/>
  <c r="B29" i="24"/>
  <c r="B28" i="24"/>
  <c r="D4" i="24"/>
  <c r="B27" i="24" s="1"/>
  <c r="B46" i="24"/>
  <c r="B45" i="24"/>
  <c r="B44" i="24"/>
  <c r="B43" i="24"/>
  <c r="E4" i="24"/>
  <c r="B42" i="24" s="1"/>
  <c r="A59" i="24"/>
  <c r="G4" i="24"/>
  <c r="A57" i="24" s="1"/>
  <c r="A74" i="24"/>
  <c r="B73" i="24" s="1"/>
  <c r="A72" i="24"/>
  <c r="B71" i="24" s="1"/>
  <c r="A70" i="24"/>
  <c r="B69" i="24" s="1"/>
  <c r="A68" i="24"/>
  <c r="B67" i="24" s="1"/>
  <c r="I4" i="24"/>
  <c r="A66" i="24" s="1"/>
  <c r="B65" i="24" s="1"/>
  <c r="B33" i="23"/>
  <c r="B32" i="23"/>
  <c r="B31" i="23"/>
  <c r="B30" i="23"/>
  <c r="A74" i="23"/>
  <c r="B73" i="23" s="1"/>
  <c r="A72" i="23"/>
  <c r="B71" i="23" s="1"/>
  <c r="A70" i="23"/>
  <c r="B69" i="23" s="1"/>
  <c r="B29" i="23"/>
  <c r="B28" i="23"/>
  <c r="D4" i="23"/>
  <c r="B27" i="23" s="1"/>
  <c r="B46" i="23"/>
  <c r="B45" i="23"/>
  <c r="B44" i="23"/>
  <c r="B43" i="23"/>
  <c r="E4" i="23"/>
  <c r="B42" i="23" s="1"/>
  <c r="A59" i="23"/>
  <c r="G4" i="23"/>
  <c r="A57" i="23" s="1"/>
  <c r="A68" i="23"/>
  <c r="B67" i="23" s="1"/>
  <c r="I4" i="23"/>
  <c r="A66" i="23" s="1"/>
  <c r="B65" i="23" s="1"/>
  <c r="B31" i="22"/>
  <c r="B30" i="22"/>
  <c r="B29" i="22"/>
  <c r="B28" i="22"/>
  <c r="D4" i="22"/>
  <c r="B27" i="22" s="1"/>
  <c r="B47" i="22"/>
  <c r="B46" i="22"/>
  <c r="B45" i="22"/>
  <c r="B44" i="22"/>
  <c r="B43" i="22"/>
  <c r="E4" i="22"/>
  <c r="B42" i="22" s="1"/>
  <c r="A59" i="22"/>
  <c r="G4" i="22"/>
  <c r="A57" i="22" s="1"/>
  <c r="A74" i="22"/>
  <c r="B73" i="22" s="1"/>
  <c r="A72" i="22"/>
  <c r="B71" i="22" s="1"/>
  <c r="A70" i="22"/>
  <c r="B69" i="22" s="1"/>
  <c r="A68" i="22"/>
  <c r="B67" i="22" s="1"/>
  <c r="I4" i="22"/>
  <c r="A66" i="22" s="1"/>
  <c r="B65" i="22" s="1"/>
  <c r="B32" i="21"/>
  <c r="B31" i="21"/>
  <c r="B30" i="21"/>
  <c r="B29" i="21"/>
  <c r="B28" i="21"/>
  <c r="D4" i="21"/>
  <c r="B27" i="21" s="1"/>
  <c r="B46" i="21"/>
  <c r="B45" i="21"/>
  <c r="B44" i="21"/>
  <c r="B43" i="21"/>
  <c r="E4" i="21"/>
  <c r="B42" i="21" s="1"/>
  <c r="A59" i="21"/>
  <c r="G4" i="21"/>
  <c r="A57" i="21" s="1"/>
  <c r="A74" i="21"/>
  <c r="B73" i="21" s="1"/>
  <c r="A72" i="21"/>
  <c r="B71" i="21" s="1"/>
  <c r="A70" i="21"/>
  <c r="B69" i="21" s="1"/>
  <c r="A68" i="21"/>
  <c r="B67" i="21" s="1"/>
  <c r="I4" i="21"/>
  <c r="A66" i="21" s="1"/>
  <c r="B65" i="21" s="1"/>
  <c r="B30" i="20"/>
  <c r="B32" i="20"/>
  <c r="B31" i="20"/>
  <c r="B29" i="20"/>
  <c r="B28" i="20"/>
  <c r="D4" i="20"/>
  <c r="B27" i="20" s="1"/>
  <c r="B45" i="20"/>
  <c r="B44" i="20"/>
  <c r="B43" i="20"/>
  <c r="E4" i="20"/>
  <c r="B42" i="20" s="1"/>
  <c r="A59" i="20"/>
  <c r="G4" i="20"/>
  <c r="A57" i="20" s="1"/>
  <c r="A74" i="20"/>
  <c r="B73" i="20" s="1"/>
  <c r="A72" i="20"/>
  <c r="B71" i="20" s="1"/>
  <c r="A70" i="20"/>
  <c r="B69" i="20" s="1"/>
  <c r="A68" i="20"/>
  <c r="B67" i="20" s="1"/>
  <c r="I4" i="20"/>
  <c r="A66" i="20" s="1"/>
  <c r="B65" i="20" s="1"/>
  <c r="A74" i="19"/>
  <c r="B73" i="19" s="1"/>
  <c r="A72" i="19"/>
  <c r="B71" i="19" s="1"/>
  <c r="B30" i="19"/>
  <c r="B29" i="19"/>
  <c r="B28" i="19"/>
  <c r="D4" i="19"/>
  <c r="B27" i="19" s="1"/>
  <c r="B45" i="19"/>
  <c r="B44" i="19"/>
  <c r="B43" i="19"/>
  <c r="E4" i="19"/>
  <c r="B42" i="19" s="1"/>
  <c r="A59" i="19"/>
  <c r="G4" i="19"/>
  <c r="A57" i="19" s="1"/>
  <c r="A70" i="19"/>
  <c r="B69" i="19" s="1"/>
  <c r="A68" i="19"/>
  <c r="B67" i="19" s="1"/>
  <c r="I4" i="19"/>
  <c r="A66" i="19" s="1"/>
  <c r="B65" i="19" s="1"/>
  <c r="E4" i="16"/>
  <c r="B42" i="16" s="1"/>
  <c r="B46" i="16"/>
  <c r="B45" i="16"/>
  <c r="B47" i="9"/>
  <c r="B46" i="9"/>
  <c r="B45" i="9"/>
  <c r="B44" i="9"/>
  <c r="B43" i="9"/>
  <c r="B46" i="10"/>
  <c r="B45" i="10"/>
  <c r="B44" i="10"/>
  <c r="B43" i="10"/>
  <c r="B47" i="11"/>
  <c r="B46" i="11"/>
  <c r="B45" i="11"/>
  <c r="B44" i="11"/>
  <c r="B43" i="11"/>
  <c r="B45" i="12"/>
  <c r="B44" i="12"/>
  <c r="B43" i="12"/>
  <c r="B45" i="13"/>
  <c r="B44" i="13"/>
  <c r="B43" i="13"/>
  <c r="B49" i="14"/>
  <c r="B48" i="14"/>
  <c r="B47" i="14"/>
  <c r="B46" i="14"/>
  <c r="B45" i="14"/>
  <c r="B44" i="14"/>
  <c r="B43" i="14"/>
  <c r="B49" i="15"/>
  <c r="B48" i="15"/>
  <c r="B47" i="15"/>
  <c r="B46" i="15"/>
  <c r="B45" i="15"/>
  <c r="B44" i="15"/>
  <c r="B43" i="15"/>
  <c r="B44" i="16"/>
  <c r="B43" i="16"/>
  <c r="B45" i="17"/>
  <c r="B44" i="17"/>
  <c r="B43" i="17"/>
  <c r="B32" i="16"/>
  <c r="B33" i="16"/>
  <c r="B30" i="16"/>
  <c r="B31" i="16"/>
  <c r="A82" i="14"/>
  <c r="B81" i="14" s="1"/>
  <c r="A80" i="14"/>
  <c r="B79" i="14" s="1"/>
  <c r="A78" i="14"/>
  <c r="B77" i="14" s="1"/>
  <c r="A76" i="14"/>
  <c r="B75" i="14" s="1"/>
  <c r="B33" i="14"/>
  <c r="B32" i="14"/>
  <c r="B30" i="14"/>
  <c r="B31" i="14"/>
  <c r="B28" i="13"/>
  <c r="B31" i="13"/>
  <c r="B30" i="13"/>
  <c r="B29" i="13"/>
  <c r="B29" i="8"/>
  <c r="B28" i="8"/>
  <c r="B30" i="9"/>
  <c r="B29" i="9"/>
  <c r="B28" i="9"/>
  <c r="B33" i="10"/>
  <c r="B32" i="10"/>
  <c r="B31" i="10"/>
  <c r="B30" i="10"/>
  <c r="B29" i="10"/>
  <c r="B28" i="10"/>
  <c r="B30" i="11"/>
  <c r="B29" i="11"/>
  <c r="B28" i="11"/>
  <c r="B32" i="12"/>
  <c r="B31" i="12"/>
  <c r="B30" i="12"/>
  <c r="B29" i="12"/>
  <c r="B28" i="12"/>
  <c r="B29" i="14"/>
  <c r="B28" i="14"/>
  <c r="B30" i="15"/>
  <c r="B29" i="15"/>
  <c r="B28" i="15"/>
  <c r="B29" i="16"/>
  <c r="B28" i="16"/>
  <c r="B29" i="17"/>
  <c r="B28" i="17"/>
  <c r="A90" i="10"/>
  <c r="B89" i="10" s="1"/>
  <c r="A88" i="10"/>
  <c r="B87" i="10" s="1"/>
  <c r="A86" i="10"/>
  <c r="B85" i="10" s="1"/>
  <c r="A84" i="10"/>
  <c r="B83" i="10" s="1"/>
  <c r="A82" i="10"/>
  <c r="B81" i="10" s="1"/>
  <c r="A80" i="10"/>
  <c r="B79" i="10" s="1"/>
  <c r="A78" i="10"/>
  <c r="B77" i="10" s="1"/>
  <c r="A76" i="10"/>
  <c r="B75" i="10" s="1"/>
  <c r="A74" i="10"/>
  <c r="B73" i="10" s="1"/>
  <c r="A72" i="10"/>
  <c r="B71" i="10" s="1"/>
  <c r="A70" i="8"/>
  <c r="B69" i="8" s="1"/>
  <c r="A68" i="8"/>
  <c r="B67" i="8" s="1"/>
  <c r="A72" i="9"/>
  <c r="B71" i="9" s="1"/>
  <c r="A70" i="9"/>
  <c r="B69" i="9" s="1"/>
  <c r="A68" i="9"/>
  <c r="B67" i="9" s="1"/>
  <c r="A70" i="10"/>
  <c r="B69" i="10" s="1"/>
  <c r="A68" i="10"/>
  <c r="B67" i="10" s="1"/>
  <c r="A76" i="11"/>
  <c r="B75" i="11" s="1"/>
  <c r="A74" i="11"/>
  <c r="B73" i="11" s="1"/>
  <c r="A72" i="11"/>
  <c r="B71" i="11" s="1"/>
  <c r="A70" i="11"/>
  <c r="B69" i="11" s="1"/>
  <c r="A68" i="11"/>
  <c r="B67" i="11" s="1"/>
  <c r="A74" i="12"/>
  <c r="B73" i="12" s="1"/>
  <c r="A72" i="12"/>
  <c r="B71" i="12" s="1"/>
  <c r="A70" i="12"/>
  <c r="B69" i="12" s="1"/>
  <c r="A68" i="12"/>
  <c r="B67" i="12" s="1"/>
  <c r="A70" i="13"/>
  <c r="B69" i="13" s="1"/>
  <c r="A68" i="13"/>
  <c r="B67" i="13" s="1"/>
  <c r="A74" i="14"/>
  <c r="B73" i="14" s="1"/>
  <c r="A72" i="14"/>
  <c r="B71" i="14" s="1"/>
  <c r="A70" i="14"/>
  <c r="B69" i="14" s="1"/>
  <c r="A68" i="14"/>
  <c r="B67" i="14" s="1"/>
  <c r="A72" i="15"/>
  <c r="B71" i="15" s="1"/>
  <c r="A70" i="15"/>
  <c r="B69" i="15" s="1"/>
  <c r="A68" i="15"/>
  <c r="B67" i="15" s="1"/>
  <c r="A74" i="16"/>
  <c r="B73" i="16" s="1"/>
  <c r="A72" i="16"/>
  <c r="B71" i="16" s="1"/>
  <c r="A70" i="16"/>
  <c r="B69" i="16" s="1"/>
  <c r="A68" i="16"/>
  <c r="B67" i="16" s="1"/>
  <c r="A82" i="17"/>
  <c r="B81" i="17" s="1"/>
  <c r="A80" i="17"/>
  <c r="B79" i="17" s="1"/>
  <c r="A78" i="17"/>
  <c r="B77" i="17" s="1"/>
  <c r="A76" i="17"/>
  <c r="B75" i="17" s="1"/>
  <c r="A74" i="17"/>
  <c r="B73" i="17" s="1"/>
  <c r="A72" i="17"/>
  <c r="B71" i="17" s="1"/>
  <c r="A70" i="17"/>
  <c r="B69" i="17" s="1"/>
  <c r="A68" i="17"/>
  <c r="B67" i="17" s="1"/>
  <c r="B29" i="18"/>
  <c r="B28" i="18"/>
  <c r="D4" i="18"/>
  <c r="B27" i="18" s="1"/>
  <c r="B45" i="18"/>
  <c r="B44" i="18"/>
  <c r="B43" i="18"/>
  <c r="E4" i="18"/>
  <c r="B42" i="18" s="1"/>
  <c r="A59" i="18"/>
  <c r="G4" i="18"/>
  <c r="A57" i="18" s="1"/>
  <c r="A82" i="18"/>
  <c r="B81" i="18" s="1"/>
  <c r="A80" i="18"/>
  <c r="B79" i="18" s="1"/>
  <c r="A78" i="18"/>
  <c r="B77" i="18" s="1"/>
  <c r="A76" i="18"/>
  <c r="B75" i="18" s="1"/>
  <c r="A74" i="18"/>
  <c r="B73" i="18" s="1"/>
  <c r="A72" i="18"/>
  <c r="B71" i="18" s="1"/>
  <c r="A70" i="18"/>
  <c r="B69" i="18" s="1"/>
  <c r="A68" i="18"/>
  <c r="B67" i="18" s="1"/>
  <c r="I4" i="18"/>
  <c r="A66" i="18" s="1"/>
  <c r="B65" i="18" s="1"/>
  <c r="D4" i="17"/>
  <c r="B27" i="17" s="1"/>
  <c r="E4" i="17"/>
  <c r="B42" i="17" s="1"/>
  <c r="G4" i="17"/>
  <c r="A57" i="17" s="1"/>
  <c r="I4" i="17"/>
  <c r="A66" i="17" s="1"/>
  <c r="B65" i="17" s="1"/>
  <c r="D4" i="16"/>
  <c r="B27" i="16" s="1"/>
  <c r="G4" i="16"/>
  <c r="A57" i="16" s="1"/>
  <c r="I4" i="16"/>
  <c r="A66" i="16" s="1"/>
  <c r="B65" i="16" s="1"/>
  <c r="D4" i="15"/>
  <c r="B27" i="15" s="1"/>
  <c r="E4" i="15"/>
  <c r="B42" i="15" s="1"/>
  <c r="G4" i="15"/>
  <c r="A57" i="15" s="1"/>
  <c r="I4" i="15"/>
  <c r="A66" i="15" s="1"/>
  <c r="B65" i="15" s="1"/>
  <c r="D4" i="14"/>
  <c r="B27" i="14" s="1"/>
  <c r="E4" i="14"/>
  <c r="B42" i="14" s="1"/>
  <c r="G4" i="14"/>
  <c r="A57" i="14" s="1"/>
  <c r="I4" i="14"/>
  <c r="A66" i="14" s="1"/>
  <c r="B65" i="14" s="1"/>
  <c r="D4" i="13"/>
  <c r="B27" i="13" s="1"/>
  <c r="E4" i="13"/>
  <c r="B42" i="13" s="1"/>
  <c r="G4" i="13"/>
  <c r="A57" i="13" s="1"/>
  <c r="I4" i="13"/>
  <c r="A66" i="13" s="1"/>
  <c r="B65" i="13" s="1"/>
  <c r="D4" i="12"/>
  <c r="B27" i="12" s="1"/>
  <c r="E4" i="12"/>
  <c r="B42" i="12" s="1"/>
  <c r="G4" i="12"/>
  <c r="A57" i="12" s="1"/>
  <c r="I4" i="12"/>
  <c r="A66" i="12" s="1"/>
  <c r="B65" i="12" s="1"/>
  <c r="D4" i="11"/>
  <c r="B27" i="11" s="1"/>
  <c r="E4" i="11"/>
  <c r="B42" i="11" s="1"/>
  <c r="G4" i="11"/>
  <c r="A57" i="11" s="1"/>
  <c r="I4" i="11"/>
  <c r="A66" i="11" s="1"/>
  <c r="B65" i="11" s="1"/>
  <c r="E4" i="8" a="1"/>
  <c r="E4" i="8" s="1"/>
  <c r="B42" i="8" s="1"/>
  <c r="A74" i="6"/>
  <c r="B73" i="6" s="1"/>
  <c r="A72" i="6"/>
  <c r="B71" i="6" s="1"/>
  <c r="A70" i="6"/>
  <c r="B69" i="6" s="1"/>
  <c r="A68" i="6"/>
  <c r="B67" i="6" s="1"/>
  <c r="E4" i="6"/>
  <c r="B42" i="6" s="1"/>
  <c r="B47" i="6"/>
  <c r="B46" i="6"/>
  <c r="B45" i="6"/>
  <c r="B44" i="6"/>
  <c r="B43" i="6"/>
  <c r="E4" i="9"/>
  <c r="B42" i="9" s="1"/>
  <c r="E4" i="10"/>
  <c r="B42" i="10" s="1"/>
  <c r="D4" i="10"/>
  <c r="B27" i="10" s="1"/>
  <c r="G4" i="10"/>
  <c r="A57" i="10" s="1"/>
  <c r="I4" i="10"/>
  <c r="A66" i="10" s="1"/>
  <c r="B65" i="10" s="1"/>
  <c r="D4" i="9"/>
  <c r="B27" i="9" s="1"/>
  <c r="G4" i="9"/>
  <c r="A57" i="9" s="1"/>
  <c r="I4" i="9"/>
  <c r="A66" i="9" s="1"/>
  <c r="B65" i="9" s="1"/>
  <c r="D4" i="8"/>
  <c r="B27" i="8" s="1"/>
  <c r="G4" i="8"/>
  <c r="A57" i="8" s="1"/>
  <c r="I4" i="8"/>
  <c r="A66" i="8" s="1"/>
  <c r="B65" i="8" s="1"/>
  <c r="I4" i="6"/>
  <c r="A66" i="6" s="1"/>
  <c r="B65" i="6" s="1"/>
  <c r="A59" i="6"/>
  <c r="G4" i="6"/>
  <c r="A57" i="6" s="1"/>
  <c r="B40" i="6"/>
  <c r="B25" i="6"/>
  <c r="D4" i="6"/>
  <c r="B27" i="6" s="1"/>
  <c r="B30" i="6"/>
  <c r="B29" i="6"/>
  <c r="B28" i="6"/>
  <c r="B45" i="8" l="1"/>
  <c r="B44" i="8"/>
  <c r="B4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tc={F4A97ADC-7EEF-452F-AC7B-DF77301AD99D}</author>
    <author>tc={E60A3FB9-7B0C-47E4-8C61-44E77A8E458A}</author>
    <author>tc={0383EAB9-F09E-452F-B02C-0A15C53C338E}</author>
    <author>tc={A55579DA-9969-46D0-9E45-0A7CE41998B5}</author>
    <author>tc={2A3DD7C8-5BA9-4BD1-BC03-513ECB62A3E4}</author>
    <author>tc={F8EDCB85-202F-431E-BCAA-722D6C32A636}</author>
    <author>tc={182A50C2-5DE8-42C5-A4E8-30F58A8D9CD6}</author>
    <author>tc={F150D4B1-3991-479B-B63C-4886A92608AE}</author>
    <author>tc={A8B5AFB8-9A99-4592-81F7-0785EF6A2DCD}</author>
    <author>tc={70EBC13F-88D4-4021-8F89-86EA421C6575}</author>
    <author>tc={88C14870-C0E2-4177-80B5-49C65CDB140F}</author>
    <author>tc={6EA18472-E076-432B-BED1-50FE62121590}</author>
    <author>tc={C7E69D6A-7CC1-4300-9759-39373FF7C94D}</author>
    <author>tc={1EE25689-BE8F-4749-95AD-A9E2F75395F0}</author>
    <author>tc={D86CE817-8CD6-4B70-9CA9-B8301DE364DE}</author>
    <author>tc={C5C427C5-C8A4-490C-88EC-25A8C7671D32}</author>
    <author>tc={E144A689-24C8-494B-8323-6181C519D82F}</author>
    <author>tc={031D602F-4C72-4683-A19B-DD4972706898}</author>
    <author>tc={7D683230-B6AE-47E0-A5BA-C898874195E9}</author>
    <author>tc={2B382FF7-A8A4-4838-96B5-9096DDA6BD5B}</author>
    <author>tc={AF2520FE-E79C-42A8-8764-27FD6126D109}</author>
    <author>tc={95DAF0AF-0C74-4AB4-8ED1-8BAA0A0BFF71}</author>
    <author>tc={DF5681ED-B0AD-4F7D-858B-109E98C7F3AA}</author>
    <author>tc={8F89E221-F297-485E-9ED1-E6C770BB674A}</author>
    <author>tc={6C0468CF-8D88-4A11-A3D9-C3517CD8A355}</author>
    <author>tc={7A4B8323-68D7-4E72-81CB-41377659CFB1}</author>
    <author>tc={C9E2503D-43DF-41AE-BC72-9583C46AA634}</author>
    <author>tc={D5113274-1005-4732-88BF-08315EE1CE3B}</author>
    <author>tc={D67AF1EE-97AD-4CD4-9DDA-494E8C3B55D3}</author>
    <author>tc={0DC778D4-1868-47A5-AC52-C1C3E71965CE}</author>
    <author>tc={E939F280-564B-4F39-B054-BDA8BEF75630}</author>
    <author>tc={F166787B-CB48-4919-A5FE-578C2913BE24}</author>
    <author>tc={1C687820-C8C6-480D-A2C2-8BE016B1CB72}</author>
  </authors>
  <commentList>
    <comment ref="R2" authorId="0" shapeId="0" xr:uid="{F4A97ADC-7EEF-452F-AC7B-DF77301AD99D}">
      <text>
        <t>[Threaded comment]
Your version of Excel allows you to read this threaded comment; however, any edits to it will get removed if the file is opened in a newer version of Excel. Learn more: https://go.microsoft.com/fwlink/?linkid=870924
Comment:
    Added row 31 and 32 comments by TKG</t>
      </text>
    </comment>
    <comment ref="G3" authorId="1" shapeId="0" xr:uid="{E60A3FB9-7B0C-47E4-8C61-44E77A8E458A}">
      <text>
        <t>[Threaded comment]
Your version of Excel allows you to read this threaded comment; however, any edits to it will get removed if the file is opened in a newer version of Excel. Learn more: https://go.microsoft.com/fwlink/?linkid=870924
Comment:
    Data modeller is a bit more specific, isn’t it? Some BIs might have a background in modelling and do more of this as a BI.</t>
      </text>
    </comment>
    <comment ref="H3" authorId="2" shapeId="0" xr:uid="{0383EAB9-F09E-452F-B02C-0A15C53C338E}">
      <text>
        <t>[Threaded comment]
Your version of Excel allows you to read this threaded comment; however, any edits to it will get removed if the file is opened in a newer version of Excel. Learn more: https://go.microsoft.com/fwlink/?linkid=870924
Comment:
    Anyone really!</t>
      </text>
    </comment>
    <comment ref="H4" authorId="3" shapeId="0" xr:uid="{A55579DA-9969-46D0-9E45-0A7CE41998B5}">
      <text>
        <t>[Threaded comment]
Your version of Excel allows you to read this threaded comment; however, any edits to it will get removed if the file is opened in a newer version of Excel. Learn more: https://go.microsoft.com/fwlink/?linkid=870924
Comment:
    Data Standards and Governance Expert, Project Manager</t>
      </text>
    </comment>
    <comment ref="H5" authorId="4" shapeId="0" xr:uid="{2A3DD7C8-5BA9-4BD1-BC03-513ECB62A3E4}">
      <text>
        <t>[Threaded comment]
Your version of Excel allows you to read this threaded comment; however, any edits to it will get removed if the file is opened in a newer version of Excel. Learn more: https://go.microsoft.com/fwlink/?linkid=870924
Comment:
    Data Steward</t>
      </text>
    </comment>
    <comment ref="G6" authorId="5" shapeId="0" xr:uid="{F8EDCB85-202F-431E-BCAA-722D6C32A636}">
      <text>
        <t>[Threaded comment]
Your version of Excel allows you to read this threaded comment; however, any edits to it will get removed if the file is opened in a newer version of Excel. Learn more: https://go.microsoft.com/fwlink/?linkid=870924
Comment:
    Def says non-training data scientist so data scientist shouldn’t be a synonym.</t>
      </text>
    </comment>
    <comment ref="H6" authorId="6" shapeId="0" xr:uid="{182A50C2-5DE8-42C5-A4E8-30F58A8D9CD6}">
      <text>
        <t>[Threaded comment]
Your version of Excel allows you to read this threaded comment; however, any edits to it will get removed if the file is opened in a newer version of Excel. Learn more: https://go.microsoft.com/fwlink/?linkid=870924
Comment:
    Potentially: data stewards, data owners</t>
      </text>
    </comment>
    <comment ref="H7" authorId="7" shapeId="0" xr:uid="{F150D4B1-3991-479B-B63C-4886A92608AE}">
      <text>
        <t>[Threaded comment]
Your version of Excel allows you to read this threaded comment; however, any edits to it will get removed if the file is opened in a newer version of Excel. Learn more: https://go.microsoft.com/fwlink/?linkid=870924
Comment:
    Data Steward</t>
      </text>
    </comment>
    <comment ref="H8" authorId="8" shapeId="0" xr:uid="{A8B5AFB8-9A99-4592-81F7-0785EF6A2DCD}">
      <text>
        <t>[Threaded comment]
Your version of Excel allows you to read this threaded comment; however, any edits to it will get removed if the file is opened in a newer version of Excel. Learn more: https://go.microsoft.com/fwlink/?linkid=870924
Comment:
    Data owner, business owner, data architect, data quality manager, researcher, SME, data engineer - there weren’t many roles I didn’t interact with as a curators.</t>
      </text>
    </comment>
    <comment ref="H9" authorId="9" shapeId="0" xr:uid="{70EBC13F-88D4-4021-8F89-86EA421C6575}">
      <text>
        <t>[Threaded comment]
Your version of Excel allows you to read this threaded comment; however, any edits to it will get removed if the file is opened in a newer version of Excel. Learn more: https://go.microsoft.com/fwlink/?linkid=870924
Comment:
    Data quality manager, business owner, researcher, SME</t>
      </text>
    </comment>
    <comment ref="H10" authorId="10" shapeId="0" xr:uid="{88C14870-C0E2-4177-80B5-49C65CDB140F}">
      <text>
        <t>[Threaded comment]
Your version of Excel allows you to read this threaded comment; however, any edits to it will get removed if the file is opened in a newer version of Excel. Learn more: https://go.microsoft.com/fwlink/?linkid=870924
Comment:
    Business owner</t>
      </text>
    </comment>
    <comment ref="H13" authorId="11" shapeId="0" xr:uid="{6EA18472-E076-432B-BED1-50FE62121590}">
      <text>
        <t>[Threaded comment]
Your version of Excel allows you to read this threaded comment; however, any edits to it will get removed if the file is opened in a newer version of Excel. Learn more: https://go.microsoft.com/fwlink/?linkid=870924
Comment:
    Ideally everyone!</t>
      </text>
    </comment>
    <comment ref="H14" authorId="12" shapeId="0" xr:uid="{C7E69D6A-7CC1-4300-9759-39373FF7C94D}">
      <text>
        <t>[Threaded comment]
Your version of Excel allows you to read this threaded comment; however, any edits to it will get removed if the file is opened in a newer version of Excel. Learn more: https://go.microsoft.com/fwlink/?linkid=870924
Comment:
    Business owner, data architect</t>
      </text>
    </comment>
    <comment ref="H15" authorId="13" shapeId="0" xr:uid="{1EE25689-BE8F-4749-95AD-A9E2F75395F0}">
      <text>
        <t>[Threaded comment]
Your version of Excel allows you to read this threaded comment; however, any edits to it will get removed if the file is opened in a newer version of Excel. Learn more: https://go.microsoft.com/fwlink/?linkid=870924
Comment:
    Data governance lead</t>
      </text>
    </comment>
    <comment ref="H16" authorId="14" shapeId="0" xr:uid="{D86CE817-8CD6-4B70-9CA9-B8301DE364DE}">
      <text>
        <t>[Threaded comment]
Your version of Excel allows you to read this threaded comment; however, any edits to it will get removed if the file is opened in a newer version of Excel. Learn more: https://go.microsoft.com/fwlink/?linkid=870924
Comment:
    Anyone can be a member of the CoP!</t>
      </text>
    </comment>
    <comment ref="H17" authorId="15" shapeId="0" xr:uid="{C5C427C5-C8A4-490C-88EC-25A8C7671D32}">
      <text>
        <t>[Threaded comment]
Your version of Excel allows you to read this threaded comment; however, any edits to it will get removed if the file is opened in a newer version of Excel. Learn more: https://go.microsoft.com/fwlink/?linkid=870924
Comment:
    2 types of personas: the “SMEs” who provide the content for the training and the “SMEs” who are the trainees. Could be many personas from this list.</t>
      </text>
    </comment>
    <comment ref="G19" authorId="16" shapeId="0" xr:uid="{E144A689-24C8-494B-8323-6181C519D82F}">
      <text>
        <t>[Threaded comment]
Your version of Excel allows you to read this threaded comment; however, any edits to it will get removed if the file is opened in a newer version of Excel. Learn more: https://go.microsoft.com/fwlink/?linkid=870924
Comment:
    RDM and MDM are different, not synonyms</t>
      </text>
    </comment>
    <comment ref="H19" authorId="17" shapeId="0" xr:uid="{031D602F-4C72-4683-A19B-DD4972706898}">
      <text>
        <t>[Threaded comment]
Your version of Excel allows you to read this threaded comment; however, any edits to it will get removed if the file is opened in a newer version of Excel. Learn more: https://go.microsoft.com/fwlink/?linkid=870924
Comment:
    Ontologist, data architect, data engineer</t>
      </text>
    </comment>
    <comment ref="H20" authorId="18" shapeId="0" xr:uid="{7D683230-B6AE-47E0-A5BA-C898874195E9}">
      <text>
        <t>[Threaded comment]
Your version of Excel allows you to read this threaded comment; however, any edits to it will get removed if the file is opened in a newer version of Excel. Learn more: https://go.microsoft.com/fwlink/?linkid=870924
Comment:
    Master data manager, data owner, ressearcher</t>
      </text>
    </comment>
    <comment ref="H21" authorId="19" shapeId="0" xr:uid="{2B382FF7-A8A4-4838-96B5-9096DDA6BD5B}">
      <text>
        <t>[Threaded comment]
Your version of Excel allows you to read this threaded comment; however, any edits to it will get removed if the file is opened in a newer version of Excel. Learn more: https://go.microsoft.com/fwlink/?linkid=870924
Comment:
    Business leader</t>
      </text>
    </comment>
    <comment ref="H22" authorId="20" shapeId="0" xr:uid="{AF2520FE-E79C-42A8-8764-27FD6126D109}">
      <text>
        <t>[Threaded comment]
Your version of Excel allows you to read this threaded comment; however, any edits to it will get removed if the file is opened in a newer version of Excel. Learn more: https://go.microsoft.com/fwlink/?linkid=870924
Comment:
    data architect, data engineer</t>
      </text>
    </comment>
    <comment ref="H23" authorId="21" shapeId="0" xr:uid="{95DAF0AF-0C74-4AB4-8ED1-8BAA0A0BFF71}">
      <text>
        <t>[Threaded comment]
Your version of Excel allows you to read this threaded comment; however, any edits to it will get removed if the file is opened in a newer version of Excel. Learn more: https://go.microsoft.com/fwlink/?linkid=870924
Comment:
    Data owner, legal, compliance, risk managers</t>
      </text>
    </comment>
    <comment ref="H24" authorId="22" shapeId="0" xr:uid="{DF5681ED-B0AD-4F7D-858B-109E98C7F3AA}">
      <text>
        <t>[Threaded comment]
Your version of Excel allows you to read this threaded comment; however, any edits to it will get removed if the file is opened in a newer version of Excel. Learn more: https://go.microsoft.com/fwlink/?linkid=870924
Comment:
    Data owner, curator, ontologist</t>
      </text>
    </comment>
    <comment ref="H25" authorId="23" shapeId="0" xr:uid="{8F89E221-F297-485E-9ED1-E6C770BB674A}">
      <text>
        <t>[Threaded comment]
Your version of Excel allows you to read this threaded comment; however, any edits to it will get removed if the file is opened in a newer version of Excel. Learn more: https://go.microsoft.com/fwlink/?linkid=870924
Comment:
    Lab manager</t>
      </text>
    </comment>
    <comment ref="H27" authorId="24" shapeId="0" xr:uid="{6C0468CF-8D88-4A11-A3D9-C3517CD8A355}">
      <text>
        <t>[Threaded comment]
Your version of Excel allows you to read this threaded comment; however, any edits to it will get removed if the file is opened in a newer version of Excel. Learn more: https://go.microsoft.com/fwlink/?linkid=870924
Comment:
    Data owner, business owner, data quality manager, data governance?</t>
      </text>
    </comment>
    <comment ref="H29" authorId="25" shapeId="0" xr:uid="{7A4B8323-68D7-4E72-81CB-41377659CFB1}">
      <text>
        <t>[Threaded comment]
Your version of Excel allows you to read this threaded comment; however, any edits to it will get removed if the file is opened in a newer version of Excel. Learn more: https://go.microsoft.com/fwlink/?linkid=870924
Comment:
    Potentially works with anyone in this table; esp anyone with “data” in their title.</t>
      </text>
    </comment>
    <comment ref="G30" authorId="26" shapeId="0" xr:uid="{C9E2503D-43DF-41AE-BC72-9583C46AA634}">
      <text>
        <t>[Threaded comment]
Your version of Excel allows you to read this threaded comment; however, any edits to it will get removed if the file is opened in a newer version of Excel. Learn more: https://go.microsoft.com/fwlink/?linkid=870924
Comment:
    Aren’t these different personas that can be held by the same person dep on their actual responsibilities?</t>
      </text>
    </comment>
    <comment ref="G31" authorId="27" shapeId="0" xr:uid="{D5113274-1005-4732-88BF-08315EE1CE3B}">
      <text>
        <t>[Threaded comment]
Your version of Excel allows you to read this threaded comment; however, any edits to it will get removed if the file is opened in a newer version of Excel. Learn more: https://go.microsoft.com/fwlink/?linkid=870924
Comment:
    Are they more related rather than synonyms? Data protection officer is a separate persona.</t>
      </text>
    </comment>
    <comment ref="H31" authorId="28" shapeId="0" xr:uid="{D67AF1EE-97AD-4CD4-9DDA-494E8C3B55D3}">
      <text>
        <t>[Threaded comment]
Your version of Excel allows you to read this threaded comment; however, any edits to it will get removed if the file is opened in a newer version of Excel. Learn more: https://go.microsoft.com/fwlink/?linkid=870924
Comment:
    Business owner, data strategy owner, data integration expert, data protection expert</t>
      </text>
    </comment>
    <comment ref="H32" authorId="29" shapeId="0" xr:uid="{0DC778D4-1868-47A5-AC52-C1C3E71965CE}">
      <text>
        <t>[Threaded comment]
Your version of Excel allows you to read this threaded comment; however, any edits to it will get removed if the file is opened in a newer version of Excel. Learn more: https://go.microsoft.com/fwlink/?linkid=870924
Comment:
    Data owner, business owner, SME</t>
      </text>
    </comment>
    <comment ref="H33" authorId="30" shapeId="0" xr:uid="{E939F280-564B-4F39-B054-BDA8BEF75630}">
      <text>
        <t>[Threaded comment]
Your version of Excel allows you to read this threaded comment; however, any edits to it will get removed if the file is opened in a newer version of Excel. Learn more: https://go.microsoft.com/fwlink/?linkid=870924
Comment:
    Data Owner, SME</t>
      </text>
    </comment>
    <comment ref="G35" authorId="31" shapeId="0" xr:uid="{F166787B-CB48-4919-A5FE-578C2913BE24}">
      <text>
        <t>[Threaded comment]
Your version of Excel allows you to read this threaded comment; however, any edits to it will get removed if the file is opened in a newer version of Excel. Learn more: https://go.microsoft.com/fwlink/?linkid=870924
Comment:
    RDM and MDM are different, not synonyms</t>
      </text>
    </comment>
    <comment ref="H35" authorId="32" shapeId="0" xr:uid="{1C687820-C8C6-480D-A2C2-8BE016B1CB72}">
      <text>
        <t>[Threaded comment]
Your version of Excel allows you to read this threaded comment; however, any edits to it will get removed if the file is opened in a newer version of Excel. Learn more: https://go.microsoft.com/fwlink/?linkid=870924
Comment:
    Ontologist, data architect, data engineer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tc={146A26E7-79EB-4320-91DF-DA2CFA2D8921}</author>
    <author>tc={29A7D146-D5AF-4426-A8C0-319318DF070F}</author>
    <author>tc={9D13DBD2-7E14-4DBE-9D90-31B4AABB7273}</author>
    <author>tc={B36649A0-E2D2-4EFC-805E-B050B1CA817A}</author>
    <author>tc={96A9EE86-C4D6-447E-85F6-50ED8C8DB086}</author>
    <author>tc={E4D885EE-156C-4574-B7B2-4C07C0D915E8}</author>
  </authors>
  <commentList>
    <comment ref="A19" authorId="0" shapeId="0" xr:uid="{146A26E7-79EB-4320-91DF-DA2CFA2D8921}">
      <text>
        <t>[Threaded comment]
Your version of Excel allows you to read this threaded comment; however, any edits to it will get removed if the file is opened in a newer version of Excel. Learn more: https://go.microsoft.com/fwlink/?linkid=870924
Comment:
    Some suggestions: Have you considered "data champions"? Its a term used for members of research groups which do have some data management tasks within the group, but they are not really officially recognized. Its very beneficial for building RDM network.
And Legal office(r)? When talking about R in fair, they come in. The same as Technology and Transfer officer / Patent office, IP office, etc...</t>
      </text>
    </comment>
    <comment ref="G29" authorId="1" shapeId="0" xr:uid="{29A7D146-D5AF-4426-A8C0-319318DF070F}">
      <text>
        <t>[Threaded comment]
Your version of Excel allows you to read this threaded comment; however, any edits to it will get removed if the file is opened in a newer version of Excel. Learn more: https://go.microsoft.com/fwlink/?linkid=870924
Comment:
    SME as CDS, enabled by AI developments</t>
      </text>
    </comment>
    <comment ref="F41" authorId="2" shapeId="0" xr:uid="{9D13DBD2-7E14-4DBE-9D90-31B4AABB7273}">
      <text>
        <t>[Threaded comment]
Your version of Excel allows you to read this threaded comment; however, any edits to it will get removed if the file is opened in a newer version of Excel. Learn more: https://go.microsoft.com/fwlink/?linkid=870924
Comment:
    We should check consistency, i.e.: if A is related to B, B should be related to A.</t>
      </text>
    </comment>
    <comment ref="I41" authorId="3" shapeId="0" xr:uid="{B36649A0-E2D2-4EFC-805E-B050B1CA817A}">
      <text>
        <t>[Threaded comment]
Your version of Excel allows you to read this threaded comment; however, any edits to it will get removed if the file is opened in a newer version of Excel. Learn more: https://go.microsoft.com/fwlink/?linkid=870924
Comment:
    it helps to refer to other roles in this table (e.g. what does "tech" mean?)</t>
      </text>
    </comment>
    <comment ref="A42" authorId="4" shapeId="0" xr:uid="{96A9EE86-C4D6-447E-85F6-50ED8C8DB086}">
      <text>
        <t>[Threaded comment]
Your version of Excel allows you to read this threaded comment; however, any edits to it will get removed if the file is opened in a newer version of Excel. Learn more: https://go.microsoft.com/fwlink/?linkid=870924
Comment:
    Depending on the maturity, there may be more types of data stewards. 
In case of low maturity, just "data steward" is enough. Tasks of such person are more related to data governance (data governor?). Mission of this person is rather increase the maturity level than work with data.
Independently of this "organizational" role, there is the "project data steward". Usually time limited with a mission to coordinate RDM activities with project partners and (local) data management systems. I have even seen grant proposals defining this role. Kinda data manager. Commonly, this role is different from project manager. You could call it data manager but its not precise.
often, in academia, the term "data manager" is used as a synonym - though technically, I think, this is wrong. Data management to me means working relational databases.</t>
      </text>
    </comment>
    <comment ref="K42" authorId="5" shapeId="0" xr:uid="{E4D885EE-156C-4574-B7B2-4C07C0D915E8}">
      <text>
        <t>[Threaded comment]
Your version of Excel allows you to read this threaded comment; however, any edits to it will get removed if the file is opened in a newer version of Excel. Learn more: https://go.microsoft.com/fwlink/?linkid=870924
Comment:
    end-to-end stewardship (management of entire data lifecycle https://rdmkit.elixir-europe.org/data_life_cycle). Also single point of contact for data.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<sst xmlns="http://schemas.openxmlformats.org/spreadsheetml/2006/main" count="4872" uniqueCount="935">
  <si>
    <t>Terms describing "roles" or"personas" in FAIR data principle implementation. These are all "stakeholders" in FAIR data principles implementation. The purpose of this document is to collect data that will be sued to update the FAIR maturity matrix framework as well as the FAIR business framework.</t>
  </si>
  <si>
    <t>Name</t>
  </si>
  <si>
    <t>Last/Family_Name</t>
  </si>
  <si>
    <t>Organisation</t>
  </si>
  <si>
    <t>ORCID</t>
  </si>
  <si>
    <t>comments</t>
  </si>
  <si>
    <t>Initials</t>
  </si>
  <si>
    <t xml:space="preserve">Ranu </t>
  </si>
  <si>
    <t>⁠Sharma</t>
  </si>
  <si>
    <t>AbbVie</t>
  </si>
  <si>
    <t>https://orcid.org/0009-0004-6207-0773</t>
  </si>
  <si>
    <t>RS</t>
  </si>
  <si>
    <t>Debashree</t>
  </si>
  <si>
    <t>Chakrabarti</t>
  </si>
  <si>
    <t>ABBVIE</t>
  </si>
  <si>
    <t>{enter your ORCID - takes 2 min to create one}</t>
  </si>
  <si>
    <t>DC</t>
  </si>
  <si>
    <t>Kathleen</t>
  </si>
  <si>
    <t>Rand</t>
  </si>
  <si>
    <t>AMGEN</t>
  </si>
  <si>
    <t>Amgen</t>
  </si>
  <si>
    <t>Philippe</t>
  </si>
  <si>
    <t>Rocca-Serra</t>
  </si>
  <si>
    <t>Astrazeneca</t>
  </si>
  <si>
    <t>PRS</t>
  </si>
  <si>
    <t>Baptiste</t>
  </si>
  <si>
    <t>Tauzin</t>
  </si>
  <si>
    <t>CSL-Behring</t>
  </si>
  <si>
    <t>BT</t>
  </si>
  <si>
    <t xml:space="preserve"> Lynch</t>
  </si>
  <si>
    <t>Nick</t>
  </si>
  <si>
    <t>Curlew Research</t>
  </si>
  <si>
    <t>https://orcid.org/0000-0002-8997-5298</t>
  </si>
  <si>
    <t>NL</t>
  </si>
  <si>
    <t>Avinash</t>
  </si>
  <si>
    <t>Dixit</t>
  </si>
  <si>
    <t>Datavid</t>
  </si>
  <si>
    <t>https://orcid.org/0009-0005-8204-6655</t>
  </si>
  <si>
    <t>AD</t>
  </si>
  <si>
    <t>Ted</t>
  </si>
  <si>
    <t>Slater</t>
  </si>
  <si>
    <t>EPAM</t>
  </si>
  <si>
    <t>https://orcid.org/0000-0003-1386-0731</t>
  </si>
  <si>
    <t>TS</t>
  </si>
  <si>
    <t xml:space="preserve">Buck </t>
  </si>
  <si>
    <t>Flannigan</t>
  </si>
  <si>
    <t>Fluree</t>
  </si>
  <si>
    <t>David</t>
  </si>
  <si>
    <t>Fernandez Rue</t>
  </si>
  <si>
    <t>Gruenenthal</t>
  </si>
  <si>
    <t>https://0009-0007-6684-2605</t>
  </si>
  <si>
    <t>DFR</t>
  </si>
  <si>
    <t>Nalini</t>
  </si>
  <si>
    <t>Mehta</t>
  </si>
  <si>
    <t>GSK</t>
  </si>
  <si>
    <t>https://orcid.org/0000-0002-7553-6569</t>
  </si>
  <si>
    <t>NM</t>
  </si>
  <si>
    <t>Emiliano</t>
  </si>
  <si>
    <t>Reynares</t>
  </si>
  <si>
    <t>IQVIA</t>
  </si>
  <si>
    <t>ER</t>
  </si>
  <si>
    <t>Katharina</t>
  </si>
  <si>
    <t xml:space="preserve"> Lang </t>
  </si>
  <si>
    <t>Novo Nordisk</t>
  </si>
  <si>
    <t>KHRL</t>
  </si>
  <si>
    <t>Karien</t>
  </si>
  <si>
    <t>Pype</t>
  </si>
  <si>
    <t>Ontoforce</t>
  </si>
  <si>
    <t>Chris</t>
  </si>
  <si>
    <t>Day</t>
  </si>
  <si>
    <t>Perdl</t>
  </si>
  <si>
    <t>CD</t>
  </si>
  <si>
    <t xml:space="preserve">Birgit </t>
  </si>
  <si>
    <t>Meldal</t>
  </si>
  <si>
    <t>Pfizer</t>
  </si>
  <si>
    <t>https://orcid.org/0000-0003-4062-6158</t>
  </si>
  <si>
    <t>BM</t>
  </si>
  <si>
    <t>Giovanni</t>
  </si>
  <si>
    <t>Nisato</t>
  </si>
  <si>
    <t>Pistoia Alliance</t>
  </si>
  <si>
    <t>https://orcid.org/0000-0002-5824-0061</t>
  </si>
  <si>
    <t>GN</t>
  </si>
  <si>
    <t>Tara Kumar</t>
  </si>
  <si>
    <t>Gajula</t>
  </si>
  <si>
    <t>Takeda</t>
  </si>
  <si>
    <t>https://orcid.org/0009-0006-0072-7148</t>
  </si>
  <si>
    <t>TKG</t>
  </si>
  <si>
    <t>John Apathy</t>
  </si>
  <si>
    <t>Apathy</t>
  </si>
  <si>
    <t>Xponentl</t>
  </si>
  <si>
    <t>JA</t>
  </si>
  <si>
    <t>Source:</t>
  </si>
  <si>
    <t>https://www.go-fair.org/fair-principles/</t>
  </si>
  <si>
    <t>Accessed on_YYYY_MM_DD:</t>
  </si>
  <si>
    <r>
      <t>F</t>
    </r>
    <r>
      <rPr>
        <b/>
        <sz val="12"/>
        <color rgb="FF333333"/>
        <rFont val="Lato"/>
        <family val="2"/>
        <charset val="1"/>
      </rPr>
      <t>indable</t>
    </r>
  </si>
  <si>
    <t>The first step in (re)using data is to find them. Metadata and data should be easy to find for both humans and computers. Machine-readable metadata are essential for automatic discovery of datasets and services, so this is an essential component of the FAIRification process.</t>
  </si>
  <si>
    <t>F1. (Meta)data are assigned a globally unique and persistent identifier</t>
  </si>
  <si>
    <t>F2. Data are described with rich metadata (defined by R1 below)</t>
  </si>
  <si>
    <t>F3. Metadata clearly and explicitly include the identifier of the data they describe</t>
  </si>
  <si>
    <t>F4. (Meta)data are registered or indexed in a searchable resource</t>
  </si>
  <si>
    <r>
      <t>A</t>
    </r>
    <r>
      <rPr>
        <b/>
        <sz val="12"/>
        <color rgb="FF333333"/>
        <rFont val="Lato"/>
        <family val="2"/>
        <charset val="1"/>
      </rPr>
      <t>ccessible</t>
    </r>
  </si>
  <si>
    <t>Once the user finds the required data, she/he/they need to know how they can be accessed, possibly including authentication and authorisation.</t>
  </si>
  <si>
    <t>A1. (Meta)data are retrievable by their identifier using a standardised communications protocol</t>
  </si>
  <si>
    <t>A1.1 The protocol is open, free, and universally implementable</t>
  </si>
  <si>
    <t>A1.2 The protocol allows for an authentication and authorisation procedure, where necessary</t>
  </si>
  <si>
    <t>A2. Metadata are accessible, even when the data are no longer available</t>
  </si>
  <si>
    <r>
      <t>I</t>
    </r>
    <r>
      <rPr>
        <b/>
        <sz val="12"/>
        <color rgb="FF333333"/>
        <rFont val="Lato"/>
        <family val="2"/>
        <charset val="1"/>
      </rPr>
      <t>nteroperable</t>
    </r>
  </si>
  <si>
    <t>The data usually need to be integrated with other data. In addition, the data need to interoperate with applications or workflows for analysis, storage, and processing.</t>
  </si>
  <si>
    <t>I1. (Meta)data use a formal, accessible, shared, and broadly applicable language for knowledge representation.</t>
  </si>
  <si>
    <t>I2. (Meta)data use vocabularies that follow FAIR principles</t>
  </si>
  <si>
    <t>I3. (Meta)data include qualified references to other (meta)data</t>
  </si>
  <si>
    <r>
      <t>R</t>
    </r>
    <r>
      <rPr>
        <b/>
        <sz val="12"/>
        <color rgb="FF333333"/>
        <rFont val="Lato"/>
        <family val="2"/>
        <charset val="1"/>
      </rPr>
      <t>eusable</t>
    </r>
  </si>
  <si>
    <t>The ultimate goal of FAIR is to optimise the reuse of data. To achieve this, metadata and data should be well-described so that they can be replicated and/or combined in different settings.</t>
  </si>
  <si>
    <t>R1. (Meta)data are richly described with a plurality of accurate and relevant attributes</t>
  </si>
  <si>
    <t>R1.1. (Meta)data are released with a clear and accessible data usage license</t>
  </si>
  <si>
    <t>R1.2. (Meta)data are associated with detailed provenance</t>
  </si>
  <si>
    <t>R1.3. (Meta)data meet domain-relevant community standards</t>
  </si>
  <si>
    <t>The principles refer to three types of entities: data (or any digital object), metadata (information about that digital object), and infrastructure. For instance, principle F4 defines that both metadata and data are registered or indexed in a searchable resource (the infrastructure component).</t>
  </si>
  <si>
    <t>URL/URI of the FAIRpersona</t>
  </si>
  <si>
    <t>short name of the role [text]</t>
  </si>
  <si>
    <t xml:space="preserve">Definition of the role, text. Ideally, this is the same as a known, existing definition we can refer to publicly. </t>
  </si>
  <si>
    <t>identification of the person that added  content in a given line in this document. For internal use, not for ppublic disclosure.</t>
  </si>
  <si>
    <t>URL/ URI of the text of the definition. (this is a Nice to have  for FAIR Maturity Matrix documentation. )</t>
  </si>
  <si>
    <t>Known synonyms of this role. Nice to have  for FAIR Maturity Matrix documentation.</t>
  </si>
  <si>
    <t>List of related roles - no hierarchy. Nice to have  for FAIR Maturity Matrix documentation and for the FAIR Business Value frame.</t>
  </si>
  <si>
    <t xml:space="preserve">Usage in different organisations; non exahustive, just some examples. Nice to have. </t>
  </si>
  <si>
    <r>
      <t xml:space="preserve">Version of the FAIR Maturity Matrix in which this role appears, or recommendation to add to a new version. Based on FAIR expert inputs  </t>
    </r>
    <r>
      <rPr>
        <sz val="11"/>
        <color rgb="FFFF0000"/>
        <rFont val="Aptos Narrow"/>
      </rPr>
      <t>(organize session for this)</t>
    </r>
  </si>
  <si>
    <t xml:space="preserve">What are the typical tasks, activities or "jobs" of the persona. </t>
  </si>
  <si>
    <t xml:space="preserve">Description of the challenges a given persona has with data.  </t>
  </si>
  <si>
    <t xml:space="preserve">What benefits can FAIR data bring to the persona. </t>
  </si>
  <si>
    <t>Is the persona necessary in the FAIR MM ? Is it a duplicate? Can it be merged with another persona?</t>
  </si>
  <si>
    <t>document expert group recommendation</t>
  </si>
  <si>
    <t>FAIRMM-link-MD</t>
  </si>
  <si>
    <t>Label_persona</t>
  </si>
  <si>
    <t>Primary data role producer/enabler/consumer</t>
  </si>
  <si>
    <t>description_of_role</t>
  </si>
  <si>
    <t>Contributors</t>
  </si>
  <si>
    <t>Source URL/URI</t>
  </si>
  <si>
    <t>Synonyms</t>
  </si>
  <si>
    <t>Related persona</t>
  </si>
  <si>
    <t>Notes on usage, relation to other roles or personas</t>
  </si>
  <si>
    <t>FAIRMM-version</t>
  </si>
  <si>
    <t>Persona_tasks</t>
  </si>
  <si>
    <t>Issues_latent_gains_draft</t>
  </si>
  <si>
    <t>Potential_FAIR_benefits_Narrative</t>
  </si>
  <si>
    <t>Editing comments - Must have/ nice to have / park for the moment</t>
  </si>
  <si>
    <t>Issues_Latent_gains__Final</t>
  </si>
  <si>
    <t>Specific-FAIR_benefits_</t>
  </si>
  <si>
    <t>Expert_recommendation_comment</t>
  </si>
  <si>
    <t>notes</t>
  </si>
  <si>
    <t>notes2</t>
  </si>
  <si>
    <t>notes3</t>
  </si>
  <si>
    <t>https://github.com/PistoiaAlliance/FAIRMaturityMatrix/blob/FAIR-MM-V1.2/FAIR_personas/Business_analyst.md</t>
  </si>
  <si>
    <t>Business_Analyst</t>
  </si>
  <si>
    <t>Data Consumer</t>
  </si>
  <si>
    <t>The Business Analyst serves as a vital link between business stakeholders and technical teams, ensuring that data, systems, and processes align with organizational goals. They analyze and document business requirements, translate them into data models and workflows, and collaborate across functions to ensure cohesive data design and governance. Skilled in process analysis, requirements engineering, and stakeholder communication, they enable informed decision-making by promoting data quality, consistency, and effective change management.</t>
  </si>
  <si>
    <t>Avinash Dixit, Debashree Chakrabarti [GN']</t>
  </si>
  <si>
    <t>DAMA-DMBOK2: Roles &amp; Responsibilities</t>
  </si>
  <si>
    <t>Data Modeller; Business System Consultant; Business Relationship Manager;
Data Analyst</t>
  </si>
  <si>
    <t>Advanced_Data_Analysis_and_Insights_Professional,Business_Analyst,Business_Owner,Data_Analyst</t>
  </si>
  <si>
    <t>Used at : AstraZeneca, Abbvie</t>
  </si>
  <si>
    <t>{ To review with group - V1.2 }</t>
  </si>
  <si>
    <t>The Business Analyst collaborates across R&amp;D, clinical, regulatory, and IT teams to gather requirements, map workflows, and identify opportunities for process and data improvement. They design compliant data models and specifications, ensure alignment with governance standards, and validate data quality. Additionally, they document processes, support change management, and monitor solution performance to drive continuous improvement in data-driven operations.</t>
  </si>
  <si>
    <t xml:space="preserve">Legacy platforms incompatible with new technology. Scientists / users of technology fail to prioritize upkeep. </t>
  </si>
  <si>
    <t>Business Analyst in a pharmaceutical company, adopting FAIR principles transforms data management into a scalable, proactive discipline. Findable and Accessible data reduce redundancy by eliminating silos and duplication of effort, while Interoperable data—structured through shared ontologies—prevents vendor lock-in and enables seamless integration across diverse platforms and partners. Reusable and well-documented datasets support reproducibility, compliance, and efficient lifecycle management, allowing petabytes of research, clinical, and manufacturing data to be managed and archived systematically through defined policies. With FAIR in place, the Business Analyst can focus on driving business value—optimizing processes, improving data quality, and ensuring that insights are derived from consistent, traceable, and reusable information across the enterprise.</t>
  </si>
  <si>
    <t>{[GN] should this role be defined more broadly?</t>
  </si>
  <si>
    <t>Issues:   fragmented data silos, poor metadata, inconsistent standards, and limited interoperability—leading to rework, inefficiencies, compliance risks, and slow decision-making. 
Latent gains:  improve data discoverability, consistency, and traceability; reducing redundancy and vendor lock-in; and enabling efficient management of large, diverse datasets through shared ontologies and archiving policies. Increase ability to work proactively, streamline workflows, ensure regulatory readiness, and deliver faster, more reliable insights across the R&amp;D and product lifecycle.</t>
  </si>
  <si>
    <t>F2 improves discoverability of datasets for analytical use; A1.1 provides standardized metadata protocols for access; R1.2 ensures lawful reuse through explicit licensing clarity</t>
  </si>
  <si>
    <t>https://github.com/PistoiaAlliance/FAIRMaturityMatrix/blob/FAIR-MM-V1.2/FAIR_personas/Business_Leader.md</t>
  </si>
  <si>
    <t>Business_Leader</t>
  </si>
  <si>
    <t>In an organization, personnel holding roles such as CEO, CFO, CTO, COO, or Functional Line Leaders with executive and strategy level decision- making capacities.</t>
  </si>
  <si>
    <t>John Apathy, giovanni.nisato / Karien Pype</t>
  </si>
  <si>
    <t>https://www.wikidata.org/wiki/Q484876</t>
  </si>
  <si>
    <t>Chief Executive Officer (CEO); Chief Operating Officer (COO); Chief Financial Officer (CFO); Functional Line Leader; Head of R&amp;D; Head of Manufacturing; Head of CMC; Head of Supply Chain Operations;</t>
  </si>
  <si>
    <t>Business_Analyst,Business_Leader,Business_Owner,Project_Manager,Technology_Leader</t>
  </si>
  <si>
    <t>Used at: all companies</t>
  </si>
  <si>
    <t xml:space="preserve">Making data-driven strategic decisions, performance and KPI management, engaging with investors and stakeholders with reliable data, enabling digital and data transformation, managing risk and compliance, supporting M&amp;A, licensing, and due diligence
</t>
  </si>
  <si>
    <t>Data fragmentation, data in silos, poor data re-usability, lack in visibility into data (which data do we have? Can we trust it?), barriers for scaling AI/ML initiatives, compliance and data governance risks</t>
  </si>
  <si>
    <t>For Business Leaders in a pharmaceutical company, implementing FAIR data principles delivers  strategic, operational, and financial advantages:
1- establish a foundation for digital transformation, enabling enterprise-wide data integration across R&amp;D, manufacturing, regulatory, and commercial operations. Executives gain trusted, real-time visibility into the organization’s data assets, accelerating strategic decision-making and reducing dependency on fragmented systems or manual reporting.
2-  drive innovation and speed-to-market by making high-quality data readily reusable for AI, machine learning, and predictive modeling—shortening development cycles, improving clinical trial design, and identifying portfolio opportunities faster.
3-   reduce operational costs and risks by minimizing data duplication, automating data governance, and enabling scalable management of petabytes of information under consistent standards and archiving policies.
4-  enhance regulatory compliance, audit readiness, and partner interoperability, positioning the organization as a trusted, data-driven leader in a rapidly evolving digital health ecosystem.</t>
  </si>
  <si>
    <t>must have</t>
  </si>
  <si>
    <t>Issues: Data fragmentation, data in silos, poor data re-usability, lack in visibility into data (which data do we have? Can we trust it?), barriers for scaling AI/ML initiatives, compliance and data governance risks. Latent gains: implementing FAIR principles would reduce these challenges and unlock efficiency, compliance, and reuse.</t>
  </si>
  <si>
    <t>F1. Enables enterprise-wide data traceability and eliminates duplication, giving executives visibility and accountability for all critical data assets. ; F2. Improves data discoverability and context, accelerating evidence-based decision-making across R&amp;D, clinical, and manufacturing domains.; F3. Strengthens data lineage and provenance, ensuring trustworthy, audit-ready information for regulatory compliance.; F4. Provides centralized visibility of data assets through searchable catalogs and dashboards for strategic oversight and resource planning.; A1. Ensures consistent, standardized access to validated data across systems, reducing manual effort and delays.; A2. Balances open access with secure authorization, protecting intellectual property and patient data while enabling collaboration.; I1. Promotes seamless data exchange across functions, reducing vendor lock-in and integration costs.; I2. Standardizes vocabularies and formats, supporting scalable data governance and automation at petabyte scale.; I3. Connects datasets through qualified references, revealing relationships across the value chain for portfolio and pipeline optimization.;R1. Ensures data are complete, accurate, and meaningful for reuse in analytics, AI, and digital innovation.; R1.1. Clarifies data usage rights, reducing legal uncertainty and enabling confident external collaboration.; R1.2. Provides full provenance for audit trails, reinforcing data integrity and regulatory readiness.; R1.3. Aligns data with community and regulatory standards (e.g., CDISC, IDMP), ensuring compliance and interoperability.;</t>
  </si>
  <si>
    <t>https://github.com/PistoiaAlliance/FAIRMaturityMatrix/blob/FAIR-MM-V1.2/FAIR_personas/Business_Owner.md</t>
  </si>
  <si>
    <t>Business_Owner</t>
  </si>
  <si>
    <r>
      <rPr>
        <sz val="11"/>
        <color rgb="FF000000"/>
        <rFont val="Aptos Narrow"/>
        <scheme val="minor"/>
      </rPr>
      <t xml:space="preserve">The Business Owner is an executive-level business role accountable for the value, performance, and strategic success of a defined business process, product, system, or </t>
    </r>
    <r>
      <rPr>
        <strike/>
        <sz val="11"/>
        <color rgb="FF000000"/>
        <rFont val="Aptos Narrow"/>
        <scheme val="minor"/>
      </rPr>
      <t>dataset</t>
    </r>
    <r>
      <rPr>
        <sz val="11"/>
        <color rgb="FF000000"/>
        <rFont val="Aptos Narrow"/>
        <scheme val="minor"/>
      </rPr>
      <t>. As the designated authority within their domain, the Business Owner ensures that data and processes deliver measurable business value, meet defined KPIs, and align with organizational objectives and regulatory requirements.
In accordance with DAMA-DMBOK2, the Business Owner is responsible for defining business requirements, approving data standards and policies, and ensuring that data is managed as a strategic enterprise asset. They collaborate with Data Stewards, Architects, and IT teams to translate business needs into data capabilities, oversee the quality and fitness-for-purpose of data, and drive continuous improvement.
By championing sound data governance and FAIR-aligned practices, the Business Owner ensures that information assets are consistent, compliant, and reusable—enabling efficient decision-making, regulatory confidence, and sustained business value generation across the organization.</t>
    </r>
  </si>
  <si>
    <t>Kathleen Rand ,  Chris Day / GN re-editing</t>
  </si>
  <si>
    <t>DAMA-DMBOK2: Appendix A: Roles &amp; Responsibilities Matrix</t>
  </si>
  <si>
    <t xml:space="preserve">Business Data Owner; Data Asset Owner; Business Executive &amp; Manager; Executive Sponsor;  </t>
  </si>
  <si>
    <t>FAIR_Data_Architect,Business_Analyst,Data_Analyst,Business_Leader,Data_Owner,Data_Standards_and_Governance_Expert,Subject_Matter_Expert,Project_Manager</t>
  </si>
  <si>
    <t>Used at : Amgen
Used within DAMA DMBoKV2</t>
  </si>
  <si>
    <t>The Business Owner performs a set of core tasks that ensure data, processes, and systems within their domain deliver measurable business value and align with corporate and regulatory expectations. Their tasks include defining business requirements and objectives for data and digital initiatives, ensuring they support strategic priorities. They evaluate and track business value and KPIs, measuring the performance and success of data-driven processes and products. The Business Owner also approves and enforces data policies, standards, and quality rules, guaranteeing that information is accurate, complete, and business-ready. They collaborate with Data Stewards, Data Architects, and IT teams to translate business needs into practical governance and data management solutions. Additionally, they prioritize and sponsor data initiatives, allocate resources, and resolve cross-functional challenges related to data ownership, access, and quality—driving continuous improvement and ensuring that data assets contribute directly to organizational goals.</t>
  </si>
  <si>
    <t>1. Unclear Business Ownership of Data Assets
FAIR View: Without clear ownership, stewardship for making data Findable, Accessible, Interoperable, and Reusable is often neglected.
DAMA View: Data Ownership (within Data Governance) must be clearly defined, yet business owners are often unaware or unclear about their responsibilities.
Impact: Data is treated as a by-product, not an asset, hindering strategic data enablement.
2. Lack of Alignment Between Business Goals and Data Strategy
FAIR View: FAIRification efforts may be driven by IT or compliance teams, not aligned with value streams or KPIs that matter to business owners.
DAMA View: Poor alignment across Data Strategy, Business Process Management, and Data Governance.
Impact: Investments in FAIR may appear technical or academic, with unclear ROI for the business owner.
3. Data is Not Trusted or Understood
FAIR View: If metadata and provenance are absent or poor, trust is undermined.
DAMA View: Data Quality and Metadata Management are foundational, yet often fragmented.
Impact: Business owners cannot rely on data for critical decision-making, reducing willingness to sponsor data initiatives.
4. Inconsistent Data Accessibility Across Functions
FAIR View: Access policies are inconsistent, siloed, or not machine-actionable.
DAMA View: Access &amp; Security Management is often reactive, not driven by business use cases.
Impact: Business owners encounter roadblocks or delays when accessing the data they are accountable for, impacting operational agility.
5. Data Silos Obstruct Reuse and Interoperability
FAIR View: Poor interoperability blocks data integration and reuse across functions or systems.
DAMA View: Reference and Master Data Management is often insufficient, leading to duplication and reconciliation overhead.
Impact: Business owners can't extract cross-domain insights or scale analytics and AI initiatives.
6. Lack of Skills and Capacity to Interpret FAIR Metrics
FAIR View: Maturity assessments and metrics may seem abstract or disconnected from business outcomes.
DAMA View: Literacy gaps in both data management and data value communication.
Impact: Business owners struggle to justify ongoing FAIR investment or demonstrate value to executive stakeholders.
7. Regulatory and Compliance Burden without Strategic Leverage
FAIR View: Compliance is often a reactive cost centre rather than an opportunity to enhance FAIR maturity.
DAMA View: Regulatory alignment is part of Governance and Risk Management but is rarely used as a FAIR catalyst.
Impact: FAIR seen as a cost rather than a business enabler, unless reframed.
8. No Clear Business Value Framework for FAIR Data
FAIR View: FAIR Maturity Models exist, but are not always coupled to business value frameworks like VMM or ROI calculations.
DAMA View: Business Value Realisation is often implicit and not operationalised within Data Governance.
Impact: Business owners cannot link FAIR efforts to quantifiable business drivers (e.g. revenue, speed to market, cost reduction).</t>
  </si>
  <si>
    <t>For a Business Owner, adopting FAIR data principles delivers both strategic and operational value by turning data into a reliable, reusable business asset. Findable and Accessible data accelerate evidence-based decision-making and reduce time spent locating or validating information, improving responsiveness and time-to-market. Enhanced metadata and provenance increase trust, data quality, and regulatory compliance while reducing audit risk and operational errors. Interoperable data promote collaboration and cross-functional reporting, supporting integration during organizational changes or mergers. Through reusability, FAIR minimizes data duplication, lowers operational costs, and improves ROI on data investments. By making data machine-actionable, FAIR enables automation, AI, and innovation, enhancing forecasting, modeling, and digital transformation. Finally, improved traceability and lifecycle stewardship reinforce transparency, governance, and enterprise resilience. Together, these capabilities empower the Business Owner to maximize business value, ensure compliance, and drive sustainable growth.</t>
  </si>
  <si>
    <t>Issues: Business Owners often face unclear accountability for data assets, leading to neglected stewardship and missed opportunities. Data is frequently treated as a by-product rather than a strategic asset, limiting its contribution to business value. Inconsistent metadata, poor provenance, and fragmented data quality management erode trust and make data unreliable for decision-making. Access policies are uneven and siloed, hindering operational agility, while weak interoperability and duplicate datasets prevent cross-domain insight generation. Additionally, limited literacy in FAIR principles and data governance frameworks leaves Business Owners unable to interpret metrics or demonstrate value. As a result, compliance efforts become reactive cost centers, and FAIR maturity remains disconnected from measurable business outcomes. Paradoxically, even FAIR initiatives aimed to improve the sitation  may be driven by IT or compliance functions without alignment to core business goals or KPIs, creating the perception of limited ROI. 
Latent Gains: Implementing FAIR principles establishes clear business data ownership and embeds stewardship as a core governance function. Data becomes an enterprise asset: traceable, high-quality, and aligned with business objectives. Standardized metadata, access protocols, and interoperable systems ensure consistency, trust, and agility across departments. FAIR maturity strengthens regulatory compliance, turning oversight into strategic advantage through transparent provenance and auditability. Empowered by reliable, well-documented data, Business Owners can link FAIR investments directly to performance indicators such as reduced time-to-insight, faster innovation cycles, and lower operational risk. With improved data literacy and measurable ROI, FAIR transforms data management from a technical exercise into a business enabler, driving sustained efficiency, compliance, and value creation across the organization.</t>
  </si>
  <si>
    <t>F1 provides persistent identifiers that ensure KPIs and metrics are based on unambiguous, trusted datasets; A1 guarantees reliable access to the data needed for monitoring performance and driving improvements; R1.1 ensures reproducibility of results so business decisions can be defended and audited; R1.2 clarifies licensing and reuse conditions, enabling safe and efficient exploitation of data assets for innovation and partnerships.</t>
  </si>
  <si>
    <t>https://github.com/PistoiaAlliance/FAIRMaturityMatrix/blob/FAIR-MM-V1.2/FAIR_personas/Citizen_Data_Scientist.md</t>
  </si>
  <si>
    <t>Citizen_Data_Scientist</t>
  </si>
  <si>
    <t>Data Producer</t>
  </si>
  <si>
    <t>Non-expert business user applying self-service analytics tools and dashboards; highly competent but not data-science trained. Individual within an organization who, despite lacking formal training in data science, utilizes data analysis tools and techniques to extract insights from data. These individuals often come from various backgrounds, such as business, marketing, or operations, and possess domain-specific expertise. Citizen Data Scientists leverage self-service analytics platforms, intuitive data visualization tools, and automated machine learning algorithms to explore datasets, generate reports, and uncover patterns or trends relevant to their roles.</t>
  </si>
  <si>
    <t>giovanni.nisato@pistoiaalliance.org/ Emiliano Reynares / Debashree Chakrabarti</t>
  </si>
  <si>
    <t>https://pistoiaalliance.github.io/FAIRMaturityMatrix/resources_lexicon</t>
  </si>
  <si>
    <t>R&amp;D Data Scientist; Applied Data Scientist; ML Scientist</t>
  </si>
  <si>
    <t>Advanced_Data_Analysis_and_Insights_Professional,Citizen_Data_Scientist,Legal_Data_Expert,Researcher</t>
  </si>
  <si>
    <t xml:space="preserve">CDS role will be empowered by GenAI, since natural languages interfaces and automation will lower technical barriers to build models, analyze data, and generate insights. </t>
  </si>
  <si>
    <t>FAIRMM_V1.1</t>
  </si>
  <si>
    <t>Explores and visualize data, combines and clean data in collaboration with data teams, build dashboards, applies automated machine learning, and interpretes results to support business decisions. Performs all of the above using self-service tools without needing to code.</t>
  </si>
  <si>
    <t>1. Sources of information lacking complete dataset
2. Context is missed or misinterpreted
3. Often requires additional SME to verify the reports generated, track down original data owners</t>
  </si>
  <si>
    <t>FAIR principles transforms how data can be accessed, understood, and used. FAIR data ensures that relevant datasets are findable and well-documented, allowing non-technical users to quickly locate trustworthy information without relying on data specialists. With accessible and standardized formats, self-service analytics tools and dashboards can easily connect to validated data sources, reducing the need for manual preparation or IT intervention. Interoperable data, structured through shared vocabularies and ontologies, ensures that metrics and definitions are consistent across business units—making analyses more reliable and comparable. Finally, reusable and well-described data enable repeatable analyses, support automation through AI-assisted tools, and foster confident, compliant decision-making. In short, FAIR empowers Citizen Data Scientists to work independently and efficiently, transforming domain expertise into actionable, data-driven insights without compromising data quality or governance.</t>
  </si>
  <si>
    <t>Issues: Information sources often lack complete datasets, leading to gaps and inconsistencies. Context is frequently missed or misinterpreted, making analysis and reporting unreliable. Project teams often need to involve additional subject matter experts to verify reports or trace original data owners.
Latent gains: Implementing FAIR principles would minimize these challenges by improving data completeness, contextual clarity, and traceability—unlocking greater efficiency, compliance, and data reuse.</t>
  </si>
  <si>
    <t>F1 ensures that self-service tools pull from datasets with persistent identifiers, avoiding confusion and duplication; F2 provides rich metadata so non-expert users can quickly assess relevance, context, and quality of datasets; A1 guarantees seamless access to trusted data products without technical barriers; I1 enables smooth integration of datasets from different domains into dashboards and tools; R1.1 assures reproducibility of results, giving confidence that insights drawn from self-service analytics are reliable and defensible.</t>
  </si>
  <si>
    <t>https://github.com/PistoiaAlliance/FAIRMaturityMatrix/blob/FAIR-MM-V1.2/FAIR_personas/Clinical_Data_Manager.md</t>
  </si>
  <si>
    <t>Clinical_Data_Manager</t>
  </si>
  <si>
    <t>Ensures accuracy, integrity, and reliability of data collected during clinical trials. They are responsible for designing and maintaining data management plans, overseeing data collection systems, and implementing quality control processes to ensure compliance with regulatory standards and requirements (e.g. from FDA,EMA). They manage the end-to-end data lifecycle in clinical trials.</t>
  </si>
  <si>
    <t>Ranu Sharma/ Giovanni Nisato ; AD</t>
  </si>
  <si>
    <t xml:space="preserve">http://purl.obolibrary.org/obo/NCIT_C142438 AND http://purl.obolibrary.org/obo/NCIT_C51820
</t>
  </si>
  <si>
    <t xml:space="preserve">Clinical Data Lead; CDISC Specialist; Clinical Informatics Lead </t>
  </si>
  <si>
    <t>Business_Owner,Data_manager,Lab_Manager,Project_Manager</t>
  </si>
  <si>
    <t>Used at AbbVie</t>
  </si>
  <si>
    <t>Clinical Data Manager (CDM) plays a central role in ensuring that clinical trial data is complete, accurate, and compliant with global regulatory standards. Their  responsibilities include designing and managing case report forms (CRFs), overseeing electronic data capture (EDC) systems, validating incoming data from multiple sites,  transforming raw data into standardized submission formats such as CDISC SDTM and ADaM. They coordinate  with biostatisticians, clinical operations, medical writers, and regulatory teams to ensure data consistency, timeliness, and readiness for regulatory submissions across complex, multi-country studies. CDMs also monitor data integrity, manage queries and discrepancies, and document all processes to maintain an auditable trail.</t>
  </si>
  <si>
    <t>face substantial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t>
  </si>
  <si>
    <t xml:space="preserve"> By ensuring that data and metadata are findable, accessible, interoperable, and reusable, Clinical_Data_Manager	 can automate and accelerate data integration and cleaning processes. Standardized vocabularies and ontologies facilitate cross-study comparisons and reduce mapping errors, while rich provenance tracking enhances audit readiness and regulatory confidence. FAIR data also enables better reuse of clinical trial datasets for secondary research, machine learning, and meta-analyses, ultimately supporting faster decision-making, reducing redundancy, and increasing the value derived from every clinical trial. </t>
  </si>
  <si>
    <t>Issues:  face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  Latent gains: implementing FAIR principles would reduce these challenges and unlock efficiency, compliance, and reuse.</t>
  </si>
  <si>
    <t>F1 ensures patient and study data are persistently identified, enabling full traceability across trial phases; F2 provides rich metadata that documents study protocols, variables, and context for regulatory submissions; Findable (F1–F4): Standardized metadata and dataset identifiers make clinical trial data easier to locate across studies, sites, and systems. This ensures that data can be efficiently discovered for ongoing trials, regulatory submissions, or secondary research; A1 guarantees secure but reliable access to trial data for authorized stakeholders, maintaining audit trails and compliance with privacy regulations (GDPR, HIPAA); A2 Metadata remains accessible even if the underlying data is restricted, supporting transparency and planning; I1 supports interoperability between clinical trial management systems, EDC platforms, and regulatory systems ; I3 Adoption of CDISC standards, controlled vocabularies (MedDRA, SNOMED CT), and ontologies.  Reduces mapping errors and allows cross-study comparisons and multi-study analyses; R1.1 ensures reproducibility of trial records and analyses, meeting strict compliance requirements; R1.3: Well-documented provenance, data quality metrics, and usage licenses make datasets suitable for regulatory submissions, meta-analyses, and machine learning applications. This increases the long-term value of clinical data and supports reproducibility.</t>
  </si>
  <si>
    <t>https://github.com/PistoiaAlliance/FAIRMaturityMatrix/blob/FAIR-MM-V1.2/FAIR_personas/Curator.md</t>
  </si>
  <si>
    <t>Curator</t>
  </si>
  <si>
    <t>Data Enabler</t>
  </si>
  <si>
    <t>Organizes, standardises, integrates, and maintains ontologies, vocabularies, datasets and data products to ensure they are FAIR and aligned with governance standards.</t>
  </si>
  <si>
    <t>Birgit Meldal</t>
  </si>
  <si>
    <t xml:space="preserve">Copilot and Birgit: http://purl.obolibrary.org/obo/NCIT_C69141 https://www.wikidata.org/wiki/Q674426
</t>
  </si>
  <si>
    <t>Data Curator; Biocurator;  Knowledge Curator</t>
  </si>
  <si>
    <t>Data_Standards_and_Governance_Expert,Data_Steward,Knowledge-Enabled_Citizen,Ontologist</t>
  </si>
  <si>
    <t>Usage in different organisations</t>
  </si>
  <si>
    <t>designs and implements curation guidelines; works very closely with stewards and governance personas</t>
  </si>
  <si>
    <t xml:space="preserve">data are not aligned or based on domain/global standards. This creates additional work at the very least. </t>
  </si>
  <si>
    <t>FAIR data principles enhance the efficiency and impact of knowledge management. Rich metadata improves dataset discoverability and context, ensuring curated assets are easily found and understood. Interoperability across knowledge sources enables consistent integration and alignment, while adherence to community standards promotes the reuse and long-term value of curated data assets.</t>
  </si>
  <si>
    <t>Issues: data are not aligned or based on domain/global standards. This creates additional work at the very least.. Latent gains: implementing FAIR principles would reduce these challenges and unlock efficiency, compliance, and reuse.</t>
  </si>
  <si>
    <t>F2 enriches metadata to improve dataset discoverability; I1 ensures compatibility across curated knowledge sources; R1.3 promotes reuse of curated assets via community standards</t>
  </si>
  <si>
    <t>https://github.com/PistoiaAlliance/FAIRMaturityMatrix/blob/FAIR-MM-V1.2/FAIR_personas/Data_Analyst.md#description-of-fair-benefits-fordata_analyst</t>
  </si>
  <si>
    <t>Data_Analyst</t>
  </si>
  <si>
    <t>[RS]: Data Analyst is responsible for designing, developing, and maintaining dashboards and recurring reports that support business needs. Leveraging FAIR data principles, this role collects, cleans, and integrates high-quality data into analytical models and data pipelines. The Data Analyst ensures data is well-documented, traceable, and accessible for a variety of stakeholders, enabling robust analysis and clear, actionable insights for strategic decision-making. Additionally, they collaborate with data engineers and business partners to continuously improve data processes, enhance data usability, and maximize the value of analytics within the organization.</t>
  </si>
  <si>
    <t>Ranu Sharma, Ted Slater</t>
  </si>
  <si>
    <t>https://www.wikidata.org/wiki/Q77293133</t>
  </si>
  <si>
    <t>Data Scientist; Insights Analyst; Business Intelligence Analyst; Data Analysis and Insights Manager;  Senior Data Analyst; Real World Evidence Specialist; Real World Data Analyst; Health Data Manager Real World Data Analyst; Health Data Manager</t>
  </si>
  <si>
    <t>Advanced_Data_Analysis_and_Insights_Professional,Business_Analyst,Data_Analyst,Data_Integration_Specialist,Data_Owner</t>
  </si>
  <si>
    <t>[RS]: Data Analyst sources, prepares, and integrates data from multiple systems into analytical models and pipelines, ensuring data quality and accessibility. They build and maintain dashboards and reports, verify outputs for accuracy, and make insights available to stakeholders. The role also promotes FAIR data principles and collaborates with others to improve data processes and usability.</t>
  </si>
  <si>
    <t>Unexpected issues in source data; lack of documentation or metadata in source data; problems with workflows, pipelines, or models</t>
  </si>
  <si>
    <t>Supports FAIR data implementation by ensuring data is consistently documented with comprehensive metadata to enhance findability and reusability. They also facilitate data integration and interoperability by adhering to standardized data formats and collaborating with other teams to optimize data accessibility. {()} {[( F1, A1, I1, R1.1 )]} – F1 provides general benefit for this role; A1 provides general benefit for this role; I1 provides general benefit for this role; R1.1 provides general benefit for this role.</t>
  </si>
  <si>
    <t>[GN]  combine  with "Advanced_Data_Analysis_and_Insights_Professiona".</t>
  </si>
  <si>
    <t>Issues: Unexpected issues in source data; lack of documentation or metadata in source data; problems with workflows, pipelines, or models. Latent gains: implementing FAIR principles would reduce these challenges and unlock efficiency, compliance, and reuse.</t>
  </si>
  <si>
    <t>F1 ensures that reports are always built on unambiguous datasets with persistent identifiers, avoiding duplication of metrics; F2 provides metadata that makes it easier to understand the business meaning and quality of data, ensuring accurate reporting; A1 guarantees analysts have seamless access to the datasets they need, reducing delays in producing dashboards and KPIs; I1 allows combining data from different domains into integrated views for stakeholders; R1.1 assures that reports are reproducible and can be validated over time, strengthening trust in recurring insights.</t>
  </si>
  <si>
    <t>https://github.com/PistoiaAlliance/FAIRMaturityMatrix/blob/FAIR-MM-V1.2/FAIR_personas/Data_Owner.md</t>
  </si>
  <si>
    <t>Data_Owner</t>
  </si>
  <si>
    <r>
      <rPr>
        <sz val="11"/>
        <color rgb="FF7030A0"/>
        <rFont val="Aptos Narrow"/>
        <scheme val="minor"/>
      </rPr>
      <t xml:space="preserve">Business-accountable role responsible for the value, quality, and compliance of a dataset} accountable for the data within a specific domain or dataset. This includes the quality, integrity, access control, compliance (to standards and FAIR) and usage policies of the data. </t>
    </r>
    <r>
      <rPr>
        <sz val="11"/>
        <color rgb="FF00B0F0"/>
        <rFont val="Aptos Narrow"/>
        <scheme val="minor"/>
      </rPr>
      <t>[RS]: In the context of FAIR data principles, a Data Owner  has both the legal rights and managerial responsibility for a dataset. The Data Owner is responsible for establishing policies on who can access and use the data, ensuring compliance with relevant laws and standards, and managing permissions. They oversee the assignment of metadata, documentation, and maintenance of data quality, while ultimately being accountable for the dataset’s proper stewardship, even if routine management is delegated to others, ensuring the data remains FAIR-compliant at all times.</t>
    </r>
  </si>
  <si>
    <t>Kathleen R and, Nalini Mehta, Baptiste Tauzin</t>
  </si>
  <si>
    <t>https://datamanagement.wiki/role/data_owner
https://www.gov.uk/government/publications/essential-shared-data-assets-and-data-ownership-in-government/data-ownership-in-government-html</t>
  </si>
  <si>
    <t>Business Data Owner; Data Asset Owner; Data Manager</t>
  </si>
  <si>
    <t>Business_Leader,Business_Owner,Business_Analyst,Data_Steward,Project_Manager</t>
  </si>
  <si>
    <t>Used at : Amgen, GSK</t>
  </si>
  <si>
    <t>[RS] : Oversees organizational data assets, setting and enforcing policies on data access, quality, security, and retention to align with business goals and compliance standards. Defines data governance protocols, approves data classifications, and manages risk by implementing security controls and evaluating threats. Approves changes to data systems, delegates stewardship tasks, and coordinates between business and technical teams. Promotes cross-functional collaboration, monitors data performance, provides advocacy and training on data governance, and manages resources to ensure robust, secure, and valuable data that supports strategic objectives and innovation.</t>
  </si>
  <si>
    <t>Challenges:
Complexity in Data Governance: Coordinating and implementing consistent governance practices across various data domains can be challenging, leading to fragmented data policies.
Data Quality Challenges: Ensuring high data quality and consistency requires constant oversight and access to adequate cleansing resources, which can be resource-intensive.
Resistance to Change: Implementing data policies or systems may face resistance from stakeholders resistant to altering established workflows.
Compliance and Regulatory Pressure: Keeping up with changing legal and regulatory requirements can be demanding and complex, requiring continuous update and monitoring.
Cross-Functional Coordination: Building effective collaboration between technical teams and business units can be difficult, with potential misalignments in goals and communication barriers.
Security Threats: Protecting data from security breaches requires ongoing vigilance and investment in new security technologies and practices.
Budget Constraints: Limited resources may constrain the implementation of necessary data management improvements and technology upgrades.
Integration Issues: Challenges in integrating new data systems with existing infrastructure can lead to inefficiencies or conflicts.
Latent Gains:
Enhanced Decision-Making: Effective data ownership can lead to improved data-driven decision-making, fostering innovation and strategic advancement.
Improved Data Quality: Proactive data management leads to cleaner, more reliable, and higher-quality data, enhancing operational effectiveness.
Compliance and Security: Robust data governance helps mitigate risks and ensures compliance with regulatory frameworks, protecting organizational integrity and reputation.
Cross-Functional Collaboration: Enhanced alignment between teams improves communication, leading to more cohesive strategies and execution across business and IT functions.
Cost Efficiency: Streamlining data processes and eliminating redundancies can lead to operational efficiencies and reduce costs over time.
Competitive Advantage: By leveraging data effectively, organizations can gain a competitive edge through better market insights and customer understanding.
Innovation Opportunities: Well-managed data opens doors to new opportunities for innovation, product development, and personalized customer experiences.
Employee Empowerment: Training initiatives under data ownership can lead to higher data literacy, empowering employees to make informed decisions and contribute to strategic goals.
By addressing these issues and pursuing latent gains, a Data Owner can significantly impact the organization's ability to manage data as a strategic asset, turning challenges into opportunities for growth and value creation.</t>
  </si>
  <si>
    <t>The FAIR principles are key guidelines for improving data management and harnessing the value of data assets. Implementing these principles can bring several potential benefits to an organization through the role of a Data Owner:
Potential FAIR Benefits:
1. Findable:
Enhanced Discoverability: By implementing standardized metadata and indexing, data becomes easily searchable, enabling stakeholders to quickly locate needed information.
Efficient Data Utilization: Improved discoverability reduces time spent searching for data, allowing teams to focus on analysis and decision-making.
2. Accessible:
Improved Data Sharing: Ensuring data accessibility through clearly defined protocols allows stakeholders across the organization to seamlessly access data, fostering collaboration.
Transparent Permission Structures: Establishing clear data access protocols reduces confusion and enhances security by ensuring only authorized users can access sensitive data.
3. Interoperable:
System Compatibility: Interoperable data can integrate across different systems and platforms, reducing silos and increasing data flow across functions.
Enhanced Collaboration: It simplifies data collaboration both internally and externally with partners, as data can be easily shared and utilized in a variety of formats without technical barriers.
4. Reusable:
Maximized Data Value: Data that is structured for reusability enhances its value by allowing teams to leverage it for multiple analyses and projects beyond its initial purpose.
Sustainability: Reusable data facilitates long-term sustainability of data assets, reducing duplication of efforts and promoting efficient use of resources.
Overall Benefits:
Improved Efficiency and Productivity: By applying the FAIR principles, organizations can streamline data processes and enhance productivity across teams by facilitating easier access and utilization of information.
Innovation and Strategic Insight: FAIR-aligned data management supports innovative uses of data, helping organizations develop new insights and strategic advances.
Robust Data Governance: The principles reinforce comprehensive data governance, promoting consistency, compliance, and security across data assets.
Reduced Costs: Efficient data management practices can reduce redundancies and minimize resource expenditure associated with data handling and storage.
Integrating the FAIR principles through the role of a Data Owner can greatly enhance the organization's ability to leverage data assets effectively, turning them into a cornerstone for business growth and transformation. {()} {[( F1, A1, I1, R1.1 )]} – F1 provides general benefit for this role; A1 provides general benefit for this role; I1 provides general benefit for this role; R1.1 provides general benefit for this role.</t>
  </si>
  <si>
    <t>[GN] Seems to be a duplicate of Business_Owner/ - propose to park or remove
(note: clarify which speficic FAIR principles are in scope)</t>
  </si>
  <si>
    <t xml:space="preserve">Issues: In a non-FAIR environment, Data Owners face unclear data visibility, inconsistent governance enforcement, poor metadata and lineage, and limited control over data reuse. This increases regulatory, security, and reputational risk, complicates accountability, weakens cross-functional coordination, and makes it difficult to demonstrate compliance, value, and proper stewardship of data assets.
Latent Gains: </t>
  </si>
  <si>
    <t>F1 ensures datasets under ownership are persistently identified, enabling clear accountability and traceability; F2 provides rich metadata that demonstrates the dataset’s purpose, scope, and quality to consumers; A1 guarantees reliable access controls so the owner can manage who uses the dataset; I1 enables interoperability with other organizational datasets, increasing business value; R1.1 assures reproducibility of results generated from the dataset, reinforcing trust in its use; R1.2 provides clarity on reuse through explicit licensing, reducing risks and negotiations for the data owner.</t>
  </si>
  <si>
    <t>https://github.com/PistoiaAlliance/FAIRMaturityMatrix/blob/FAIR-MM-V1.2/FAIR_personas/Data_Protection_Officer.md</t>
  </si>
  <si>
    <t>Data_Protection_Officer</t>
  </si>
  <si>
    <t>Ensures compliance with privacy, regulatory, and security requirements.</t>
  </si>
  <si>
    <t>Copilot; https://www.wikidata.org/wiki/Q30682903</t>
  </si>
  <si>
    <t>Data Privacy Officer;  Data Security Officer</t>
  </si>
  <si>
    <t>Business_Leader,Data_Owner,Data_Steward</t>
  </si>
  <si>
    <t>{nice to have/ to complete}</t>
  </si>
  <si>
    <t>Ensures that research, clinical, and operational data practices comply with GDPR, HIPAA, and other international regulations. Their tasks include reviewing data governance policies, monitoring cross-border data transfers, and advising R&amp;D and IT teams, e.g. on privacy-by-design practices. They work closely with clinical operations to oversee the lawful use of patient and trial data, ensuring consent and data-use conditions are accurately captured and respected. Conducts regular audits, risk assessments, and staff training to reinforce compliance culture across the organization. Act as the bridge between regulators, business leaders, and scientists, balancing the drive for data sharing and data-driven innovation with the company’s obligations to protect privacy, security, and trust.</t>
  </si>
  <si>
    <t>risk of data breaches if data management doesn't include security at all levels</t>
  </si>
  <si>
    <t>Data may be FAIR on paper but cannot be used widely without the right security measures - esp for propriatory and data and data containing – A1.2 guarantees controlled access for privacy compliance; R1.1 ensures reproducible compliance evidence.</t>
  </si>
  <si>
    <t>(needs better descrpitons)</t>
  </si>
  <si>
    <t>Issues: risk of data breaches if data management doesn't include security at all levels. Latent gains: implementing FAIR principles would reduce these challenges and unlock efficiency, compliance, and reuse.</t>
  </si>
  <si>
    <t>A1.2 enforces controlled access for privacy compliance; R1.1 guarantees reproducibility of compliance evidence</t>
  </si>
  <si>
    <t>https://github.com/PistoiaAlliance/FAIRMaturityMatrix/blob/FAIR-MM-V1.2/FAIR_personas/Data_Scientist.md</t>
  </si>
  <si>
    <t>Data_Scientist</t>
  </si>
  <si>
    <t xml:space="preserve"> Data Scientists  find, compile, clean, preprocess and analyze complex datasets. They interpret data trends, develop predictive models, and communicate findings to inform strategic decision-making. Data Scientists also design experiments, possess expertise in statistical methods, programming, data visualization, database management, and may have domain-specific knowledge. See also “researcher” .</t>
  </si>
  <si>
    <t xml:space="preserve">giovanni  nisato </t>
  </si>
  <si>
    <t xml:space="preserve">R&amp;D Data Scientist; Computational Scientist; Bioinformatician; Machine Learning Engineer;  Quantitative Analyst; Applied Data Scientist; AI/ML Scientist; </t>
  </si>
  <si>
    <t>Advanced_Data_Analysis_and_Insights_Professional,Citizen_Data_Scientist,Researcher,Data_Analyst,Data_Engineer</t>
  </si>
  <si>
    <t>Used at: Novartis, GSK</t>
  </si>
  <si>
    <t>Performs analysis of R&amp;D and clinical data, integrating diverse sources such as omics datasets (RNAseq, DNAseq, proteomics, metabolomics), digital pathology images, and real-world evidence. Cleans, harmonizes, and preprocesses complex data to ensure quality and consistency. Applies statistical and computational methods to uncover biological mechanisms, identify biomarkers, and support target discovery, patient stratification, and clinical outcome prediction. Collaborates with bioinformaticians, biostatisticians, and domain experts to interpret results and translate findings into actionable insights for drug discovery and development.</t>
  </si>
  <si>
    <t>Issues: different, inconsistent ontologies and spread out across different sources and sometimes not knowing that they are existing</t>
  </si>
  <si>
    <t>FAIR data transforms the way research and analysis are conducted. When data is Findable, Accessible, Interoperable, and Reusable, it eliminates one of the greatest barriers to scientific progress—the time lost searching for, cleaning, and reconciling fragmented datasets. FAIR data allows Data Scientists to quickly discover high-quality, well-annotated datasets across R&amp;D, clinical, and real-world domains, accelerating hypothesis generation and model development. Interoperable data formats and shared standards enable seamless integration of diverse data types—from omics and imaging to patient and assay data—allowing deeper, more holistic analyses. Reusable datasets and documented workflows enhance reproducibility, making results easier to validate and build upon. Ultimately, FAIR data empowers Data Scientists to focus less on data wrangling and more on interpreting results, generating insights, and driving data-informed decisions that advance discovery, improve clinical outcomes, and reduce development timelines.</t>
  </si>
  <si>
    <t>Issues: Issues: different, inconsistent ontologies and spread out across different sources and sometimes not knowing that they are existing. Latent gains: implementing FAIR principles would reduce these challenges and unlock efficiency, compliance, and reuse.</t>
  </si>
  <si>
    <t>F1 guarantees persistent identifiers to trace datasets across workflows; F2 provides rich metadata that makes datasets discoverable and interpretable; A1 ensures stable access for computational pipelines; I1 supports integration of heterogeneous datasets for machine learning; R1.1 ensures reproducibility of models and analyses across studies</t>
  </si>
  <si>
    <t>https://github.com/PistoiaAlliance/FAIRMaturityMatrix/blob/FAIR-MM-V1.2/FAIR_personas/Data_Standards_and_Governance_Expert.md</t>
  </si>
  <si>
    <t>Data_Standards_and_Governance_Expert</t>
  </si>
  <si>
    <t>Acts as a governance advisor and facilitator, ensuring the adoption and compliance of data standards across the organization.
Provides expertise on data standards and governance within a specific business function.
Defines how data is managed, protected, and used across the enterprise by establishing policies, standards, and roles that ensure data is accurate, secure, compliant with regulations, and aligned with business objectives.</t>
  </si>
  <si>
    <t>giovanni.nisato@pistoiaalliance.org/ Emiliano Reynares</t>
  </si>
  <si>
    <t>Email communication / FAIR-for-pharma</t>
  </si>
  <si>
    <t>Policy Maker; Data Governance Lead; Information Governance Manager; Policy Owner</t>
  </si>
  <si>
    <t>Business_Analyst,Data_Owner,Data_Steward,Researcher</t>
  </si>
  <si>
    <t>ensures consistent, compliant, and interoperable data practices across research and manufacturing. Working with scientists and technical teams, the expert defines and maintains controlled vocabularies and standardized term lists for Laboratory Information Management Systems (LIMS) and Manufacturing Execution Systems (MES), ensuring methods, processes, and data are recorded in FAIR-compliant formats before integration into central databases.
In production contexts such as tablet manufacturing, the expert applies the ISA-88 (S88) standard to structure and harmonize process data. The role defines and enforces policies for data quality, security, privacy, and usage; assigns ownership and stewardship responsibilities; and ensures compliance with internal standards and external regulations.
The expert maintains visibility of data provenance and lineage to ensure traceability and trust, promotes adoption of governance frameworks across business and technical functions, and monitors the effectiveness of data standards to support reliable, reusable, and regulatory-ready information.</t>
  </si>
  <si>
    <t xml:space="preserve">The main issues are convincing the scientific departments to put the time in up front to deliver a benefit they can’t directly see.
 </t>
  </si>
  <si>
    <t xml:space="preserve"> FAIR principles transforms data governance from a compliance obligation into a strategic enabler of efficiency, quality, and trust. FAIR ensures that data is findable and discoverable across systems, reducing duplication and enabling reuse of validated information. Accessibility allows authorized users to retrieve data seamlessly within compliant frameworks, while interoperability enables consistent data exchange across instruments, laboratories, and business units without loss of meaning—directly supporting harmonization of LIMS, MES, and enterprise data models. Reusability extends the value of high-quality, well-documented data, improving reproducibility, regulatory readiness, and analytics potential. For this expert, FAIR provides a concrete framework to drive standardization, traceability, and continuous improvement, turning governance into a catalyst for innovation and long-term organizational learning.</t>
  </si>
  <si>
    <t>[GN] - check if must have. / overal with Legal data and ontology experts ?</t>
  </si>
  <si>
    <t>Issues: Convincing scientists to invest time upfront in structured data capture remains the main hurdle. Benefits of FAIR are not immediately visible, leading to resistance and inconsistent adoption. Metadata entry is seen as extra work; tools and vocabularies remain fragmented across LIMS, MES, and ELN systems. Legacy data, unclear ownership, and competing standards add friction, while governance enforcement and balancing compliance with usability continue to challenge implementation.
Latent gains: Once FAIR principles are embedded, data becomes findable, traceable, and reusable across research and manufacturing. Efficiency improves through reduced duplication and faster access to validated information. Compliance and audit readiness strengthen through clear provenance and standardization. Harmonized data flows enable interoperability, AI-driven analytics, and sustained knowledge reuse—turning governance from a control mechanism into a catalyst for scientific productivity and long-term data value.</t>
  </si>
  <si>
    <t>F1 provides persistent identifiers that governance experts can mandate to ensure data is consistently referenced across the organization; F2 enriches metadata so governance frameworks can require transparency and completeness; A1 guarantees that access protocols are standardized, making governance policies easier to enforce; I1 ensures interoperability across domains, allowing governance rules to scale enterprise-wide; R1.3 promotes reuse of data aligned with recognized community and industry standards, reinforcing organizational compliance and credibility.</t>
  </si>
  <si>
    <t>https://github.com/PistoiaAlliance/FAIRMaturityMatrix/blob/FAIR-MM-V1.2/FAIR_personas/Data_Steward.md</t>
  </si>
  <si>
    <t>Data_Steward</t>
  </si>
  <si>
    <t xml:space="preserve">Data stewardship encompasses the set of practices that ensure data is properly collected, stored, maintained, and shared throughout its entire lifecycle. FAIR data stewardship extends traditional data management by introducing a coordinated framework that ensures data is (or becomes) and remains compliant to Findable, Accessible, Interoperable, and Reusable (FAIR) principles.
The core responsibilities of a Data Steward vary widely, ranging from policy development and advisory functions to operational, technical, and IT-related activities. These responsibilities may differ across research-performing and data-driven organizations, where job titles and scopes of work may also vary. Data stewardship roles can be coordination-focused, policy-oriented, research-oriented, or infrastructure-oriented, depending on organizational needs and maturity. A Data Steward may also serve as a lead role within a data governance initiative, taking ownership of data assets and collaborating with business and technical stakeholders to define and implement governance objectives. This role is closely linked to maintaining data integrity and control within data governance and master data management frameworks. 
</t>
  </si>
  <si>
    <t>giovanni.nisato@pistoiaalliance.org  / Kathleen Rand</t>
  </si>
  <si>
    <t xml:space="preserve">https://rdmkit.elixir-europe.org/data_steward. https://fairtoolkit.pistoiaalliance.org/methods/data-stewardship/ 
https://www.gofair.us/data-stewardship
</t>
  </si>
  <si>
    <t>Data Governance Steward; Metadata Steward; Records Steward; Knowledge Scientist</t>
  </si>
  <si>
    <t>Master_Data_Manager,Reference_Data_Manager,Data_Owner,Data_Protection_Officer,Data_Quality_Manager,Subject_Matter_Expert,Data_Standards_and_Governance_Expert,Data_Integration_Specialist,FAIR_Community_Manager,Curator, Ontologist,</t>
  </si>
  <si>
    <t>Used at GO-FAIR see also ELIXIR</t>
  </si>
  <si>
    <t xml:space="preserve">A FAIR Data Steward serves as a connector between scientific, regulatory, business, and technical functions, ensuring that data remains accurate, compliant, and aligned with both organizational and FAIR principles. In the pharmaceutical context, the role underpins data integrity and regulatory compliance while enabling data reuse across R&amp;D, manufacturing, and post-market activities for example. The FAIR Data Steward may help define and enforces governance policies, establishe and monitor data quality standards, and ensures that metadata and provenance information are complete, standardized, and persistently linked to underlying datasets.
This role requires continuous collaboration with multiple stakeholders. Working closely with the Master Data Manager and Reference Data Manager, the steward ensures harmonized and trusted master and reference data. In partnership with the Data Owner and Data Protection Officer, they clarify accountability and ensure adherence to privacy and data protection regulations. Together with the Data Quality Manager and Subject Matter Experts, they validate data definitions, ensure high-quality standards, and maintain contextual relevance. Coordination with the Data Standards and Governance Expert and the Data Integration Specialist guarantees alignment with enterprise standards and seamless interoperability across systems. Engagement with the FAIR Community Manager, Curator, and Ontologist supports consistent application of semantic models, promotes best practices, and strengthens the organization’s FAIR culture.
Through these collaborations, the FAIR Data Steward acts as an integrator who embeds FAIR principles into daily operations, transforming data into a trusted, reusable, and compliant asset. This enables the organization to achieve greater efficiency, regulatory readiness, and scientific and business value throughout the pharmaceutical data lifecycle. They can also act as a link between business and technical teams, ensuring data is accurate, compliant, and aligned with organizational goals.
They define governance policies, procedures, and roles, set and maintain data quality rules, monitor KPIs, and resolve issues with relevant stakeholders. They may (alond or inc oordination with other FAIR personas) manage master data to maintain a single source of truth, ensure proper integration and synchronization, and keep metadata and data catalogs accurate and accessible.	</t>
  </si>
  <si>
    <t>Typical issues for a Data Steward include unclear or overlapping role definitions, leading to confusion or gaps in data stewardship and governance. They often struggle with poor data quality and incomplete or inconsistent definitions, which undermine trust and value in organizational data. Cultural resistance—where colleagues see new governance practices as bureaucratic or disruptive—can make adoption challenging. Data stewards must also navigate increasing complexity in regulatory compliance, data security, and integration of new technologies. Finally, many face resource constraints, such as lack of time, training, or effective tools, reducing their overall impac</t>
  </si>
  <si>
    <t>The adoption of FAIR principles enhances data quality, trust, and discoverability while minimizing duplication of effort. FAIR provides a structured framework. By improving data quality, consistency, and documentation, it rebuilds trust in organizational data and ensures a reliable foundation for analytics and decision-making. FAIR’s emphasis on metadata, accessibility, and interoperability supports stronger compliance with regulatory frameworks, simplifies auditability, and streamlines integration across systems. Moreover, it helps overcome cultural resistance by embedding transparent, value-driven practices that demonstrate efficiency and impact. Ultimately, FAIR empowers Data Stewards to achieve greater operational efficiency, foster collaboration, and enable sustainable data reuse across the organization.</t>
  </si>
  <si>
    <t>Must have</t>
  </si>
  <si>
    <t>Issues: Typical issues for a Data Steward include unclear or overlapping role definitions, leading to confusion or gaps in data stewardship and governance. They often struggle with poor data quality and incomplete or inconsistent definitions, which undermine trust and value in organizational data. Cultural resistance—where colleagues see new governance practices as bureaucratic or disruptive—can make adoption challenging. Data stewards must also navigate increasing complexity in regulatory compliance, data security, and integration of new technologies. Finally, many face resource constraints, such as lack of time, training, or effective tools, reducing their overall impac. Latent gains: implementing FAIR principles would reduce these challenges and unlock efficiency, compliance, and reuse.</t>
  </si>
  <si>
    <t>F1 ensures identifiers to enforce consistent governance; A1 guarantees accessibility for governance workflows; R1.1 enables reproducible governance evidence; R1.3 supports reuse by aligning with community practices</t>
  </si>
  <si>
    <t>Improve data quality, trust, and discovery while reducing duplication.
It strengthens compliance and traceability through clear metadata and audit trails.
Interoperability enables seamless integration across systems, boosting collaboration and the value of master data.
Reusability ensures data can serve multiple purposes, maximizing long-term value and supporting continuous improvement. F1 ensures clear identifiers for governance; A1 guarantees accessibility in organizational workflows; R1.1 enables reproducible governance processes; R1.3 supports reuse with community-based practices.</t>
  </si>
  <si>
    <t>A data steward refers to the lead role in a data governance project. Data Stewards take ownership of the data and work with the business to define the programme’s objectives. The role of a Data Steward is specifically tasked with maintaining data control in data governance and master data management initiatives on a day-to-day basis. Data Stewardship is required for data implementation and data management to succeed. An example of what they may do to achieve this is drafting the data quality rules which their data is measured against.</t>
  </si>
  <si>
    <t xml:space="preserve">
Acts as the key link between business and technical teams, ensuring data is accurate, compliant, and aligned with organizational goals.
They define governance policies, procedures, and roles, set and maintain data quality rules, monitor KPIs, and resolve issues with relevant stakeholders.
They may (alond or inc oordination with other FAIR personas) manage master data to maintain a single source of truth, ensure proper integration and synchronization, and keep metadata and data catalogs accurate and accessible.
</t>
  </si>
  <si>
    <t>https://github.com/PistoiaAlliance/FAIRMaturityMatrix/blob/FAIR-MM-V1.2/FAIR_personas/Data_Strategy_Owner.md#description-of-fair-benefits-fordata_strategy_owner</t>
  </si>
  <si>
    <t>Data_Strategy_Owner</t>
  </si>
  <si>
    <t>A senior leader responsible for defining, developing, and executing an organization's overarching data strategy to align with business goals. This role translates business strategy into a data strategy, establishing the roadmap for how data will be collected, managed, governed, and leveraged to drive value and innovation across the company.</t>
  </si>
  <si>
    <t>Birgit Meldal / GN</t>
  </si>
  <si>
    <t>{Co-pilot generated)</t>
  </si>
  <si>
    <t>Chief Data Officer (CDO); Chief Analytics Officer (CAO); Head of Data Strategy;  Director of Data Strategy; Data Strategy Lead; Data Strategy &amp; Governance Lead</t>
  </si>
  <si>
    <t>Business_Leader,Business_Analyst,Business_Owner,Project_Manager, Data_Steward</t>
  </si>
  <si>
    <t>{to complete: worth keeping because it’s not the business owner (see definition and synonyms); it could be the same a business owner for some data but it should be a senior leader such as the CDO or CIO}</t>
  </si>
  <si>
    <t>Data Strategy Owners set the strategic vision for how data supports business goals and defines priorities for data initiatives.
They ensure data management practices align with organizational objectives, enforce data policies, and are accountable for the quality, security, and compliance of the data.
The role involves making key decisions on data usage, resource allocation, and approving access or data sharing agreements.
They collaborate with business and technical teams to implement governance, manage risks, and support data-driven decision-making.
Continuous oversight of data quality, regulatory adherence, and alignment of data efforts with business strategy are core to their responsibilities{/ to complete}</t>
  </si>
  <si>
    <t>without a strategy data and related tools may look very useful but may not solve any problems wasting time and money producting them</t>
  </si>
  <si>
    <t>FAIR benefits are mainly interoperability – ensuring all data are managed to linked/interoperable standards (which makes mapping possible) [if this role doesn’t exist, the consequence are data silos]</t>
  </si>
  <si>
    <t xml:space="preserve">[GN] adited FAIR benefits Narrative </t>
  </si>
  <si>
    <t>Issues: without a strategy data and related tools may look very useful but may not solve any problems wasting time and money producting them. Latent gains: implementing FAIR principles would reduce these challenges and unlock efficiency, compliance, and reuse. [if this role doesn’t exist, the consequence are data silos]</t>
  </si>
  <si>
    <t>F1 provides persistent identifiers that underpin trustworthy, enterprise-wide data assets for strategic decision making; F2 ensures metadata richness so executives can evaluate the value and readiness of data for business opportunities; A1 guarantees that critical datasets are reliably accessible, enabling agility in responding to market shifts; I1 enables cross-domain interoperability, supporting enterprise-wide analytics and innovation; R1.2 clarifies reuse conditions, allowing leadership to safely unlock data assets for partnerships, monetization, and ecosystem engagement.</t>
  </si>
  <si>
    <t>https://github.com/PistoiaAlliance/FAIRMaturityMatrix/blob/FAIR-MM-V1.2/FAIR_personas/FAIR_Community_Manager.md</t>
  </si>
  <si>
    <t>FAIR_Community_Manager</t>
  </si>
  <si>
    <t>An individual or group responsible for facilitating and managing a community of practice (CoP). The organizer’s role involves coordinating meetings, events, and activities for the community, creating channels for communication and knowledge sharing, and fostering a supportive and inclusive environment where members feel comfortable exchanging ideas and experiences. They may also be involved in recruiting new members, setting goals and objectives for the community, and ensuring that it remains vibrant and relevant to its members’ needs and interests.
Person who organizes groups of people around shared aims - see https://the-turing-way.netlify.app/collaboration/research-infrastructure-roles/community-manager.html</t>
  </si>
  <si>
    <t>giovanni.nisato@pistoiaalliance.org</t>
  </si>
  <si>
    <t>https://the-turing-way.netlify.app/collaboration/research-infrastructure-roles/community-manager.html
https://pistoiaalliance.github.io/FAIRMaturityMatrix/resources_lexicon</t>
  </si>
  <si>
    <t>Community of Practice Organiser; (FAIR ) Community Lead; FAIR Engagement Manager; FAIR Knowledge Community Lead; FAIR Community Manager</t>
  </si>
  <si>
    <t>Business_Leader,Clinical_Data_manager,Data_Steward,Knowledge-Enabled_Citizen,Researcher,Subject_Matter_Expert</t>
  </si>
  <si>
    <t>A (FAIR) Community Manager in pharma is responsible for building and nurturing a community of practice (CoP) around FAIR data principles, standards, and best practices. Their  activities include organizing workshops, webinars, and discussion forums; coordinating cross-functional meetings with data stewards, clinical data managers, scientists, and IT teams; and maintaining communication channels such as mailing lists, Slack/Teams channels, or internal portals. They curate and disseminate knowledge, including FAIR guidelines, metadata standards, and interoperability frameworks. Additionally, they track emerging trends in data management and FAIR adoption, and actively recruit new members to ensure the community reflects diverse roles and perspectives within the organization.</t>
  </si>
  <si>
    <t xml:space="preserve">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
</t>
  </si>
  <si>
    <t>FAIR principles provide the FAIR Community Manager with a common framework and language to unite teams around shared data practices. By promoting FAIR-aligned processes—such as standardized metadata, provenance tracking, and controlled vocabularies—the manager enables consistent documentation and reliable data reuse across departments. This supports easier dataset discovery, reduced duplication of effort, and improved cross-study analytics. Clear access protocols and governance ensure that information can be securely shared across teams and regions, fostering trust and collaboration. Through visible success stories and demonstrable value—like faster access to insights and enhanced compliance—the FAIR Community Manager strengthens engagement, accelerates learning, and cultivates a company-wide culture of openness, innovation, and continuous improvement in data management.</t>
  </si>
  <si>
    <t xml:space="preserve">merged with "Community Manager". </t>
  </si>
  <si>
    <t>Issues:  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 Latent gains: implementing FAIR principles would reduce these challenges and unlock efficiency, compliance, and reuse.</t>
  </si>
  <si>
    <t>F1 ensures community resources are persistently identified, so members can reliably reference and share them; F2 enriches metadata for community outputs, making them easier to discover and adopt; A1 guarantees accessible communication channels, shared repositories, and training materials; I1 enables interoperability between contributions from different groups, fostering collaboration; R1.3 promotes reuse of outputs that align with community and industry standards, amplifying their impact.</t>
  </si>
  <si>
    <t>https://github.com/PistoiaAlliance/FAIRMaturityMatrix/blob/FAIR-MM-V1.2/FAIR_personas/FAIR_Trainer.md</t>
  </si>
  <si>
    <t>FAIR_Trainer</t>
  </si>
  <si>
    <t xml:space="preserve">Trainers design and deliver training programs to a variety of stakeholders ranging from researchers to business leaders and project teams across organisation functions (R&amp;ED, but also development, clinical, franchises), with a focus on awareness and best practice implementation of FAIR data principles. The role supports compliance with corporate data governance policies, regulatory expectations, and scientific needs. It interfaces and interacts woth 
</t>
  </si>
  <si>
    <t>giovanni nisato</t>
  </si>
  <si>
    <t>adapted from: https://rdmkit.elixir-europe.org/trainer</t>
  </si>
  <si>
    <t>FAIR Educator; FAIR Enablement Specialist; Data Stewardship Instructor</t>
  </si>
  <si>
    <t>Business_Analyst,Citized_Data_Scientist,Data_Analyst,Data_Steward,Researcher</t>
  </si>
  <si>
    <t xml:space="preserve">Collaborate with data governance leads, technology leads, data architects, community managers and researcher teams to identify training needs aligned with corporate strategy; design tailored, role-specific training schedules; create high-quality, compliant, and FAIR-aligned learning materials (presentations, manuals, e-learning modules, job aids); deliver  in-person, virtual, and hybrid sessions combining policy awareness with hands-on skills; promote company-approved and community recommended  tools, standards, and workflows; adapt delivery for varied therapeutic areas, modalities, and stages of development (R&amp;D, etc); establish continuous improvement processes through structured feedback and impact measurement. Keep track of FAIR training offering outside of the organisation.
</t>
  </si>
  <si>
    <t xml:space="preserve">The lower the organisation FAIR maturity level, the higher the complexity of the role and the need to create awareness.
Lack of clarity and alignment in terms of needs and requirements from the organisations can be expected.
 At more advanced maturity levels, traning may become diversified and tuned to the needs of differen stakeholders, from business leaders, to researchers, to Data Stewards and Architects.
In a change management process, the value of the training, FAIR and data-centric approach may be challenged. </t>
  </si>
  <si>
    <t>FAIR principles provide a strong foundation for trainers to embed best practices in data management and reusability across teams and organizations. By leveraging success stories, FAIR Trainers can effectively articulate the underlying rationale ('why') for FAIR training, fostering greater engagement and commitment. The re-use of FAIR-aligned training materials and the adoption of open standards are facilitated by highlighting real-world examples from FAIR implementation journeys and profiles. With well-defined metrics and frameworks such as FAIR indicators and the FAIR Maturity Model (FAIR MM), Trainers are able to assess both datasets and organizational adherence, offering tangible benchmarks for progress. The impact of training is ultimately heightened through the availability of FAIR-compliant data and implementation examples</t>
  </si>
  <si>
    <t>Issues: The lower the organisation FAIR maturity level, the higher the complexity of the role and the need to create awareness.
Lack of clarity and alignment in terms of needs and requirements from the organisations can be expected.
 At more advanced maturity levels, traning may become diversified and tuned to the needs of differen stakeholders, from business leaders, to researchers, to Data Stewards and Architects.
In a change management process, the value of the training, FAIR and data-centric approach may be challenged.. Latent gains: implementing FAIR principles would reduce these challenges and unlock efficiency, compliance, and reuse.</t>
  </si>
  <si>
    <t>F2 provides richly described training datasets for learners; R1.3 promotes reuse of materials aligned with community standards</t>
  </si>
  <si>
    <t>[RS]: FAIR principles provide a strong foundation for trainers to embed best practices in data management and reusability across teams and organizations. By leveraging success stories, FAIR Trainers can effectively articulate the underlying rationale ('why') for FAIR training, fostering greater engagement and commitment. The re-use of FAIR-aligned training materials and the adoption of open standards are facilitated by highlighting real-world examples from FAIR implementation journeys and profiles. With well-defined metrics and frameworks such as FAIR indicators and the FAIR Maturity Model (FAIR MM), Trainers are able to assess both datasets and organizational adherence, offering tangible benchmarks for progress. The impact of training is ultimately heightened through the availability of FAIR-compliant data and implementation examples—F2 provides richly described cases for instructional use, while R1.3 ensures materials remain reusable and aligned with recognized community standards. Altogether, this accelerates learning, builds trust, and cultivates a culture of openness, innovation, and continuous improvement. Benefit from success stories to articulate the "why" of the training.
Ability to re-use FAIR training materials.  Ability to use  open standards,   showcase examples from FAIR implementation journeys and FAIR implementation profiles.
Benefit from clearer metrics and frameworks to assess FAIR data sets (FAIR indicators) and organisations. (FAIR MM).
Higher impact of training due to availability of FAIR compliant data and examples of implementation. {()} {[( F2, R1.3 )]} – F2 provides richly described examples for training materials; R1.3 ensures reuse of materials aligned with community standards.</t>
  </si>
  <si>
    <t>https://github.com/PistoiaAlliance/FAIRMaturityMatrix/blob/FAIR-MM-V1.2/FAIR_personas/Lab_manager.md</t>
  </si>
  <si>
    <t>Lab_Manager</t>
  </si>
  <si>
    <t>Oversees the daily operation of research or testing laboratories, ensuring that experiments, equipment, personnel, and data workflows run efficiently, safely, and in compliance with regulatory and quality standards. They coordinate between scientists, data teams, and quality or regulatory functions to maintain accurate experimental records, ensure data integrity, and optimize resource utilization. The role combines scientific leadership with operational and digital oversight, increasingly relying on data-driven decision-making to improve productivity and reproducibility. The role may include a wide range of responsibilities, including budget and spends, overseeing daily operations, ensuring safety, managing lab and IT equipments and supplies, and supervising staff.</t>
  </si>
  <si>
    <t>John Apathy, Debashree Chakrabarti / GN</t>
  </si>
  <si>
    <t>https://en.wikipedia.org/wiki/Laboratory_manager</t>
  </si>
  <si>
    <t>Laboratory Operations Manager; Research Operations Manager; Laboratory Coordinator;  Facility Manager;  Laboratory Supervisor; Laboratory Operations Lead; Lab Head, Principal investigator;</t>
  </si>
  <si>
    <t>Data_Owner,Lab_Manager,Project_Manager,Researcher,Business_Owner</t>
  </si>
  <si>
    <t>Used at Abbvie (unofficial title)</t>
  </si>
  <si>
    <t>Manage day-to-day activities, ensuring experiments, workflows, and safety procedures run smoothly and comply with regulatory standards.
Manage data workflows and documentation, including the capture, validation, and archiving of experimental data across digital systems (e.g., ELN, LIMS) to maintain integrity, traceability, and reproducibility.
Allocate staff, instruments, and materials effectively to maximize productivity and minimize delays or downtime.
Ensure quality, compliance, and audit readiness, including  monitor data quality, equipment calibration, and documentation to meet GxP and regulatory requirements, supporting internal and external audits.</t>
  </si>
  <si>
    <t>1. Assumption that managing digital assets is an IT task and therefore often neglected
2. Lack of training towards FAIR practices
3. Often use old applications due to some legacy automation 
4. Do not account for funds for digital asset upkeep or understand security policies
5. The role often rotates within a lab (sort of an additional responsibility)</t>
  </si>
  <si>
    <t>transforms laboratory operations from manual and fragmented to digital, efficient, and compliant. By making experimental data findable through persistent identifiers and standardized metadata, FAIR ensures that samples, assays, and results can be quickly located, linked, and reused across projects—saving time and reducing administrative overhead. Accessible and well-governed data enable seamless sharing between teams and systems, improving collaboration while maintaining security and regulatory control. Through interoperable data formats and shared ontologies, FAIR connects instruments, ELNs, LIMS, and analytical platforms, eliminating silos and streamlining workflows. Finally, reusable, provenance-rich data strengthen reproducibility and audit readiness, allowing the Lab Manager to demonstrate data integrity and compliance effortlessly. In a FAIR-mature environment, the Lab Manager can shift focus from operational firefighting to continuous improvement, driving higher quality, efficiency, and scientific innovation across the laboratory ecosystem.</t>
  </si>
  <si>
    <t>Issues: Lab Managers often face fragmented and inefficient data environments, where managing digital assets is seen as an IT responsibility rather than an integral part of laboratory operations. Limited training in FAIR data practices and data governance leads to inconsistent documentation and poor metadata quality. Legacy applications and automation systems constrain interoperability and hinder modernization efforts. Budget planning rarely accounts for the upkeep of digital assets or data infrastructure, resulting in technical debt and security vulnerabilities. Moreover, the role of Lab Manager may rotate among staff, leading to inconsistent ownership, variable data management standards, and loss of institutional knowledge.
Latent Gains: Implementing FAIR principles transforms lab management by embedding data stewardship directly into operational workflows. FAIR ensures structured metadata, standardized formats, and interoperable systems that enhance traceability, compliance, and reproducibility. Automated data capture and integration reduce manual workload, freeing managers to focus on quality and innovation. Training and clear governance frameworks empower lab personnel to maintain digital assets responsibly, while better budgeting for data infrastructure ensures sustainability. Ultimately, FAIR enables a transparent, efficient, and future-ready lab environment that supports continuous improvement and scientific excellence.</t>
  </si>
  <si>
    <t>F1 provides persistent identifiers that track samples, instruments, and experimental outputs unambiguously; F2 ensures metadata is complete so lab operations, methods, and results are transparent and auditable; A1 guarantees secure yet efficient access to lab data across instruments and IT systems; I1 enables interoperability between laboratory information systems and research platforms; R1.1 assures reproducibility of experiments and regulatory submissions, reducing compliance risks.</t>
  </si>
  <si>
    <t>https://github.com/PistoiaAlliance/FAIRMaturityMatrix/blob/FAIR-MM-V1.2/FAIR_personas/Master_Data_Manager.md</t>
  </si>
  <si>
    <t>Master_Data_Manager</t>
  </si>
  <si>
    <t>Role ensuring authoritative single sources of truth across the enterprise (e.g., products, customers, materials). Manages the master data in a given business domain. Responsible for managing vocabularies, code lists, and ontologies to ensure consistency and semantic alignment. Manages reference data to ensure master data from multiple sources are aligned.
An Enterprise Data Steward manages and enforces data governance policies at an enterprise level, bridging the gap between business users, data owners, and IT. They ensure that enterprise-wide data assets are properly defined, cataloged, and maintained.</t>
  </si>
  <si>
    <t>Avinash Dixit/ GN / Nick Lynch</t>
  </si>
  <si>
    <t>https://www.gartner.com/en/data-analytics/topics/master-data-management
https://en.wikipedia.org/wiki/Master_data_management</t>
  </si>
  <si>
    <t xml:space="preserve">Enterprise Data Manager; Data Domain Manager; Master Data Lead;  Master Data Steward; Master Data Coordinator; Reference Data Manager;  Enterprise Data Steward
</t>
  </si>
  <si>
    <t>Business_Owner,Curator,Lab_Manager,Project_Manager,FAIR_Data_Architect,Data_Steward</t>
  </si>
  <si>
    <t>Define and maintain enterprise master data standards; oversee creation, quality, and governance of master data domains (e.g., products, customers, materials); ensure harmonization and alignment across business units and IT systems; resolve data ownership conflicts and redundancies; collaborate with Data Stewards, Architects, and Analysts to embed FAIR principles into master data processes; monitor data quality KPIs and enforce remediation workflows; support regulatory reporting and compliance through accurate, consistent master data.
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t>
  </si>
  <si>
    <t>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Latent gains if FAIR adopted: F1 enables persistent identifiers that define single sources of truth; F2-rich metadata supports discoverability and governance; A1 provides secure yet consistent access across systems; I1/I2 ensure interoperability between domains and applications; R1.1/R1.2 guarantee reproducible, licensed reuse of master data, reducing compliance risk and speeding reporting.]}</t>
  </si>
  <si>
    <t>FAIR principles ensures authoritative, high-quality master and reference data consistently aligned across systems and business domains. FAIR makes master data findable through persistent identifiers and rich metadata, accessible via governed and auditable access points, interoperable through shared vocabularies and ontologies, and reusable thanks to embedded provenance and usage context. This foundation drives data democratization, empowering stakeholders across the enterprise with trusted, well-documented data assets, while supporting AI readiness through standardized, machine-actionable metadata. FAIR also strengthens regulatory compliance by ensuring that master data are fully traceable, governed, and reusable, reducing risk and improving auditability. Ultimately, FAIR maturity transforms data stewardship from an operational task into a strategic enabler of enterprise efficiency, data trust, and cross-domain interoperability.</t>
  </si>
  <si>
    <t>Combined with Reference Data Manager</t>
  </si>
  <si>
    <t>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uncontrolled code list/version drift breaks integrations; missing lineage/provenance blocks auditability and impact analysis; manual crosswalks between vocabularies are fragile and not reusable; shadow MDMs emerge due to slow or ungoverned access; inconsistent deprecation/change notifications cause downstream breakage; limited API/access standards create friction for data consumers; mistrust in KPIs and AI models due to low-quality master data.
Latent gains if FAIR adopted: authoritative and uniquely identified master data provide a single source of truth across systems; standardized, well-described metadata improves discoverability, governance, and cross-domain alignment; secure and harmonized access protocols enable seamless data exchange while preserving control; shared vocabularies and ontologies eliminate semantic ambiguity and make integrations durable; rich provenance, lineage, and licensing information ensure auditability, trust, and regulatory readiness; reusable reference data and automated conformance checks reduce maintenance costs and speed up reporting; harmonized master data accelerates AI and analytics use cases, enhances data democratization, and builds confidence in enterprise-wide data-driven decision-making.</t>
  </si>
  <si>
    <t>F1 ensures authoritative entities (e.g., products, customers) have persistent identifiers, preventing duplication and ambiguity across systems; F2 provides rich metadata that defines business meaning, lineage, and ownership of master data; A1 guarantees secure but consistent access to authoritative master data across business units; I1/I2 enable interoperability and automated synchronization between enterprise systems; R1.1 assures reproducibility of reports and compliance filings that depend on master data; R1.2 clarifies reuse conditions, allowing trusted sharing of master data across internal and external stakeholders.</t>
  </si>
  <si>
    <t xml:space="preserve">data from multiple sources can be combined in metanalyses; data becomes FAIR </t>
  </si>
  <si>
    <t xml:space="preserve">Data democratization , supports AI readiness. It strengthens regulatory compliance by ensuring traceable, governed, and reusable master data. </t>
  </si>
  <si>
    <t>https://github.com/PistoiaAlliance/FAIRMaturityMatrix/blob/FAIR-MM-V1.2/FAIR_personas/Ontologist.md</t>
  </si>
  <si>
    <t>Ontologist</t>
  </si>
  <si>
    <t>An expert in knowledge representation and ontology building,</t>
  </si>
  <si>
    <t>giovanni.nisato@pistoiaalliance.org/ Kathleen Rand/Philippe Rocca-Serra</t>
  </si>
  <si>
    <t>Knowledge Engineer; Information Architect; Semantic Data Modeler; Taxonomist; Data Standards Specialist</t>
  </si>
  <si>
    <t>FAIR_Data_Architect,Curator,Data_Standards_and_Governance_Expert,Reference_Data_Manager</t>
  </si>
  <si>
    <t xml:space="preserve">commonly used </t>
  </si>
  <si>
    <t>An Ontologist plays a pivotal role in defining and structuring the semantic foundations of an organization’s data ecosystem. Their work involves knowledge elicitation to capture domain expertise and domain modeling to formalize concepts, relationships, and constraints within a specific area. Through knowledge representation and engineering, they transform complex information into actionable, machine-readable models aligned with semantic web standards and technologies. Ontologists actively engage with communities to foster collaboration, build consensus, and promote best practices for interoperability and data reuse. They contribute to the development of industry standards and ensure the quality and consistency of AI-generated semantic representations. By bridging technical precision with organizational needs, the ontologist enables a data-centric approach that enhances understanding, integration, and innovation across systems and disciplines.</t>
  </si>
  <si>
    <t xml:space="preserve"> 1.challenges of convincing of changing ways of working / change to organization / interaction with information architects classicly training with ER modeling.
2. shortage in trained experts
3. different school of thoughts for ontology development (detrimental to interoperability)
4. can not guarantee out of the box interoperability (no panacea, semantic models can be in conflit and compete)</t>
  </si>
  <si>
    <t>the application of FAIR principles enhances the creation and maintenance of high-quality, interoperable data models that underpin a data-centric approach. FAIR enables the development of actionable ontological frameworks that drive consistency, reusability, and semantic clarity across the organization. It supports the precise definition of standards and shared understanding of “what good looks like,” ensuring that data models are transparent, well-structured, and aligned with business and scientific objectives. By fostering clarity about model intent and commitment, FAIR empowers ontologists to build trusted, sustainable data ecosystems that facilitate integration, automation, and informed decision-making.</t>
  </si>
  <si>
    <t>Issues: Ontologists often face the challenge of driving organizational change and convincing teams—particularly those accustomed to traditional information architecture and ER modeling—to adopt new, semantic approaches. There is a persistent shortage of trained experts, and differing schools of thought in ontology development can hinder consistency and interoperability. Moreover, semantic models cannot guarantee seamless interoperability out of the box, as conflicting or competing models may arise across domains.
Latent gains: Implementing FAIR principles helps mitigate these challenges by promoting shared standards, improving semantic alignment, and fostering collaboration across disciplines. This approach enhances efficiency, compliance, and data reuse while supporting the gradual transition toward a unified, interoperable, and sustainable data ecosystem.</t>
  </si>
  <si>
    <t>I1 ensures semantic interoperability across ontologies and vocabularies; I2 enables automated reasoning over structured knowledge; R1.3 promotes reuse of ontologies by aligning with community standards</t>
  </si>
  <si>
    <t>{nice to have/ to complete} 
1. enabling data centricity approach 
2. provisioning of actionable models
3. definition of what good looks like 4. clarity about model commitment {()} {[( I1, I2, R1.3 )]} – I1 ensures semantic interoperability of knowledge models; I2 fosters automated reasoning across datasets; R1.3 promotes reuse with community ontology standards.</t>
  </si>
  <si>
    <t>Issues: 1.challenges of convincing of changing ways of working / change to organization / interaction with information architects classicly training with ER modeling.
2. shortage in trained experts
3. different school of thoughts for ontology development (detrimental to interoperability)
4. can not guarantee out of the box interoperability (no panacea, semantic models can be in conflit and compete). Latent gains: implementing FAIR principles would reduce these challenges and unlock efficiency, compliance, and reuse.</t>
  </si>
  <si>
    <t>https://github.com/PistoiaAlliance/FAIRMaturityMatrix/blob/FAIR-MM-V1.2/FAIR_personas/Project_Manager.md</t>
  </si>
  <si>
    <t>Project_Manager</t>
  </si>
  <si>
    <t>Coordinates -cross-functional- efforts to deliver projects or initiative on time, within budget, and in compliance with regulatory standards. They oversee projects in -or spanning- research, clinical development, manufacturing, regulatory submissions, and commercialization domains. Acting as the connective link between scientific, operational, and business teams, the Project Manager ensures alignment of objectives, resources, and timelines , including across the drug development lifecycle. They manage risk, track milestones, and facilitate decision-making through clear reporting and proactive issue resolution. In addition, they drive collaboration among internal teams, external partners, and vendors while ensuring adherence to GxP and quality standards.</t>
  </si>
  <si>
    <t>Ranu Sharma / AD/ GN</t>
  </si>
  <si>
    <t>https://www.wikidata.org/wiki/Q2552738</t>
  </si>
  <si>
    <t>Portfolio Manager; Program Manager; Program Lead; Clinical Project Manager; Project Lead; Project Coordinator; Delivery Manager; Principal investigator;</t>
  </si>
  <si>
    <t>FAIR_Community_Manager,FAIR_Data_Architect,Business_Owner,Clinical_Data_Manager,Data_Engineer,Data_Owner,Lab_Manager,Project_Manager,Technology_Leader</t>
  </si>
  <si>
    <t>Responsible for planning, coordinating, and overseeing projects. Their tasks include defining project scope, timelines, budgets, and deliverables;  tracking progress; managing risks and dependencies; and ensuring alignment with business objectives and regulatory requirements. They organize meetings, produce status reports, formulate options for decision makers, and act as the bridge between technical teams, leadership, and stakeholders.</t>
  </si>
  <si>
    <t>Face challenges in orchestrating FAIR data implementation due to the complexity and heterogeneity of organizational data, multiple stakeholders with varying priorities, and legacy systems resistant to change. They must balance technical feasibility, resource availability, timelines, and compliance requirements while ensuring teams understand and adopt FAIR practices. Communicating the benefits and ROI of FAIR adoption to senior leadership and maintaining engagement across diverse departments can also be challenging, particularly in large global pharma organizations.</t>
  </si>
  <si>
    <t>For a Project Manager, the implementation of FAIR principles delivers benefits in efficiency, coordination, and project quality. By ensuring that data is findable, accessible, interoperable, and reusable, FAIR provides a structured framework that simplifies planning, execution, and oversight. It enables more predictable project outcomes by making data discoverable and usable from the outset, reducing delays caused by integration, validation, or quality issues. Reusable, high-quality data accelerates timelines, minimizes duplication of effort, and ensures consistent compliance with organizational and regulatory standards. FAIR practices also strengthen collaboration across cross-functional teams by improving transparency, traceability, and alignment of deliverables. For project managers, this translates into more reliable data-driven workflows, streamlined communication, and greater confidence in achieving project objectives efficiently and sustainably.</t>
  </si>
  <si>
    <t>Issues: struggle with fragmented information scattered across silos, making it difficult to track progress, dependencies, and deliverables efficiently. Inconsistent or incomplete data across R&amp;D, clinical, and regulatory systems causes delays in reporting and decision-making, while limited visibility and traceability often result in duplicated work, misaligned timelines, and poor impact assessment. Manual data consolidation consumes valuable time that could be spent on strategic coordination and risk management. Additionally, poor interoperability between tools and vendors increases rework, handover errors, and operational costs. The lack of standardized metadata and provenance also heightens regulatory and audit risks, as documentation remains inconsistent and incomplete.
Latent gains: By implementing FAIR principles, these challenges can be transformed into strategic advantages. Real-time visibility of project data across domains enables proactive monitoring and faster decision-making. Standardized, interoperable data structures streamline collaboration across teams and vendors, while automated reporting replaces manual tracking, improving both accuracy and efficiency. Traceable, reusable data strengthen compliance readiness and reduce audit burden. Clear data ownership and reduced redundancy optimize resource allocation and project planning, while predictive insights from high-quality, integrated data enhance risk management and support strategic portfolio prioritization across the entire drug development lifecycle.</t>
  </si>
  <si>
    <r>
      <t>F1:</t>
    </r>
    <r>
      <rPr>
        <sz val="11"/>
        <color theme="1"/>
        <rFont val="Aptos Narrow"/>
        <family val="2"/>
        <scheme val="minor"/>
      </rPr>
      <t xml:space="preserve"> Enables unified tracking of project data through persistent identifiers, reducing duplication and confusion; </t>
    </r>
    <r>
      <rPr>
        <b/>
        <sz val="11"/>
        <color theme="1"/>
        <rFont val="Aptos Narrow"/>
        <family val="2"/>
        <scheme val="minor"/>
      </rPr>
      <t>F2:</t>
    </r>
    <r>
      <rPr>
        <sz val="11"/>
        <color theme="1"/>
        <rFont val="Aptos Narrow"/>
        <family val="2"/>
        <scheme val="minor"/>
      </rPr>
      <t xml:space="preserve"> Provides rich metadata that clarify context, improving communication and coordination across teams; </t>
    </r>
    <r>
      <rPr>
        <b/>
        <sz val="11"/>
        <color theme="1"/>
        <rFont val="Aptos Narrow"/>
        <family val="2"/>
        <scheme val="minor"/>
      </rPr>
      <t>F4:</t>
    </r>
    <r>
      <rPr>
        <sz val="11"/>
        <color theme="1"/>
        <rFont val="Aptos Narrow"/>
        <family val="2"/>
        <scheme val="minor"/>
      </rPr>
      <t xml:space="preserve"> Centralizes data in searchable repositories, giving real-time visibility into project status and dependencies; </t>
    </r>
    <r>
      <rPr>
        <b/>
        <sz val="11"/>
        <color theme="1"/>
        <rFont val="Aptos Narrow"/>
        <family val="2"/>
        <scheme val="minor"/>
      </rPr>
      <t>A1:</t>
    </r>
    <r>
      <rPr>
        <sz val="11"/>
        <color theme="1"/>
        <rFont val="Aptos Narrow"/>
        <family val="2"/>
        <scheme val="minor"/>
      </rPr>
      <t xml:space="preserve"> Ensures standardized access to validated data, streamlining reporting and decision-making; </t>
    </r>
    <r>
      <rPr>
        <b/>
        <sz val="11"/>
        <color theme="1"/>
        <rFont val="Aptos Narrow"/>
        <family val="2"/>
        <scheme val="minor"/>
      </rPr>
      <t>I1:</t>
    </r>
    <r>
      <rPr>
        <sz val="11"/>
        <color theme="1"/>
        <rFont val="Aptos Narrow"/>
        <family val="2"/>
        <scheme val="minor"/>
      </rPr>
      <t xml:space="preserve"> Promotes seamless data exchange between systems, reducing manual consolidation and integration delays; </t>
    </r>
    <r>
      <rPr>
        <b/>
        <sz val="11"/>
        <color theme="1"/>
        <rFont val="Aptos Narrow"/>
        <family val="2"/>
        <scheme val="minor"/>
      </rPr>
      <t>I2:</t>
    </r>
    <r>
      <rPr>
        <sz val="11"/>
        <color theme="1"/>
        <rFont val="Aptos Narrow"/>
        <family val="2"/>
        <scheme val="minor"/>
      </rPr>
      <t xml:space="preserve"> Aligns terminology and metrics through shared vocabularies, ensuring consistent understanding across functions; </t>
    </r>
    <r>
      <rPr>
        <b/>
        <sz val="11"/>
        <color theme="1"/>
        <rFont val="Aptos Narrow"/>
        <family val="2"/>
        <scheme val="minor"/>
      </rPr>
      <t>R1:</t>
    </r>
    <r>
      <rPr>
        <sz val="11"/>
        <color theme="1"/>
        <rFont val="Aptos Narrow"/>
        <family val="2"/>
        <scheme val="minor"/>
      </rPr>
      <t xml:space="preserve"> Delivers high-quality, complete data that can be confidently reused for planning, forecasting, and analytics; </t>
    </r>
    <r>
      <rPr>
        <b/>
        <sz val="11"/>
        <color theme="1"/>
        <rFont val="Aptos Narrow"/>
        <family val="2"/>
        <scheme val="minor"/>
      </rPr>
      <t>R1.2:</t>
    </r>
    <r>
      <rPr>
        <sz val="11"/>
        <color theme="1"/>
        <rFont val="Aptos Narrow"/>
        <family val="2"/>
        <scheme val="minor"/>
      </rPr>
      <t xml:space="preserve"> Provides traceable provenance, strengthening compliance and audit readiness; </t>
    </r>
    <r>
      <rPr>
        <b/>
        <sz val="11"/>
        <color theme="1"/>
        <rFont val="Aptos Narrow"/>
        <family val="2"/>
        <scheme val="minor"/>
      </rPr>
      <t>R1.3:</t>
    </r>
    <r>
      <rPr>
        <sz val="11"/>
        <color theme="1"/>
        <rFont val="Aptos Narrow"/>
        <family val="2"/>
        <scheme val="minor"/>
      </rPr>
      <t xml:space="preserve"> Aligns data with regulatory and community standards (e.g., CDISC, IDMP), accelerating submissions and validation.</t>
    </r>
  </si>
  <si>
    <t>facilitates the FAIR data implementation by coordinating cross-functional teams to establish processes that ensure data is findable, accessible, interoperable, and reusable. They manage project timelines and resources to align data management activities with organizational objectives and compliance standards.
FAIR data provides frameworks  that simplify planning and execution. It creates more predictable project outcomes by ensuring data is discoverable, and usable from the start. Reusable, high-quality data reduces the effort needed for integration, validation, and quality assurance, accelerating project timelines. FAIR practices also enable better collaboration across teams, improve transparency and traceability of project deliverables, and support regulatory and business objectives by ensuring data is reliable, accessible, and ready for analytics, reporting, or secondary use.
	•	Findable (F1–F4): Standardized metadata and persistent identifiers make project datasets easy to locate, track, and monitor progress across multiple teams and systems.
	•	Accessible (A1–A2): Clear access protocols and persistence policies ensure that authorized team members can reliably retrieve data and associated metadata throughout the project lifecycle.
	•	Interoperable (I1–I3): Standardized formats, controlled vocabularies, and ontologies facilitate seamless integration of datasets from diverse sources, enabling cross-team collaboration and reducing dependency delays.
	•	Reusable (R1–R1.3): Provenance documentation, usage licenses, and quality standards allow project deliverables to be reused in future studies, regulatory submissions, or organizational analytics, reducing duplication and improving efficiency.</t>
  </si>
  <si>
    <t>https://github.com/PistoiaAlliance/FAIRMaturityMatrix/blob/FAIR-MM-V1.2/FAIR_personas/Reference_Data_Manager.md</t>
  </si>
  <si>
    <t>Reference_Data_Manager</t>
  </si>
  <si>
    <r>
      <rPr>
        <sz val="11"/>
        <color rgb="FF000000"/>
        <rFont val="Aptos Narrow"/>
        <scheme val="minor"/>
      </rPr>
      <t xml:space="preserve">Responsible for managing vocabularies, code lists, and ontologies to ensure consistency and semantic alignment. Manages reference data to ensure master data from multiple sources are aligned. [RS] </t>
    </r>
    <r>
      <rPr>
        <sz val="11"/>
        <color rgb="FF0070C0"/>
        <rFont val="Aptos Narrow"/>
        <scheme val="minor"/>
      </rPr>
      <t>A Reference Data Manager is responsible for overseeing the management, quality, and governance of reference data within an organization. This role ensures that reference data (such as codes, classifications, and standard lists) is accurate, consistent, and aligned with business needs. The Reference Data Manager defines data standards, maintains master/reference data sets, monitors data quality, and implements processes that ensure data is FAIR. They collaborate with business units, data stewards, and technology teams to support data governance, resolve data issues, and enable reliable analytics and reporting.</t>
    </r>
  </si>
  <si>
    <t>Birgit/ Avinash</t>
  </si>
  <si>
    <t>https://cio-wiki.org/wiki/Reference_Data_Management_%28RDM%29</t>
  </si>
  <si>
    <t>Information Steward, Master Data Manager, Data Steward, Data Governance Lead, Metadata Manager, Data Quality Manager, Data Custodian.</t>
  </si>
  <si>
    <t>Business_Owner,Curator,Lab_Manager,Ontologist,Project_Manager</t>
  </si>
  <si>
    <t>used at Pfizer</t>
  </si>
  <si>
    <t>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t>
  </si>
  <si>
    <t>[RS]: Issues for a Reference Data Manager often include fragmentation of reference data across systems, leading to inconsistencies and frequent manual reconciliation. Lack of standardization results in duplicated or conflicting codes and classifications, which hinders integration and reporting. Poor data provenance and incomplete documentation increase regulatory and audit risks, while limited interoperability slows down system upgrades and business transformations. Additionally, insufficient collaboration between business units and IT can cause misalignment in reference data policies and processes.
Latent gains: By applying FAIR principles, the Reference Data Manager can establish unified, well-documented reference data sets that are findable and reusable across the enterprise. Improved data standardization enhances integration, reduces errors, and supports compliant reporting. Real-time access to quality-assured reference data speeds up onboarding of new systems and partners, while strong interoperability enables scalable automation and analytics. Efficient governance reduces effort spent on manual fixes, strengthens audit readiness, and unlocks value for downstream consumers by enabling trusted insights and seamless collaboration.</t>
  </si>
  <si>
    <t>Data can be mastered which makes it FAIR.
Essential for interoperability {()} {[( F1, A1, I1, R1.1 )]} – F1 provides general benefit for this role; A1 provides general benefit for this role; I1 provides general benefit for this role; R1.1 provides general benefit for this role.</t>
  </si>
  <si>
    <t>[GN] combined with Master_Data_Manager /</t>
  </si>
  <si>
    <t>Issues: Data cannot be mastered without it having been aligned to standardised reference data resources.
Duplicated/competing code lists across applications
Manual, ticket-based updates and brittle point-to-point feeds
Slow approvals and unclear ownership
Breakages after schema/value changes. Latent gains: implementing FAIR principles would reduce these challenges and unlock efficiency, compliance, and reuse.</t>
  </si>
  <si>
    <t>F1 ensures that reference codes, vocabularies, and ontology terms are persistently identified, avoiding duplication and ambiguity; F2 provides rich metadata that documents definitions, hierarchies, and context of reference data and ontologies; A1 guarantees that reference datasets and ontologies are reliably accessible across the enterprise; I1 enables semantic interoperability, allowing ontologies and code lists to be consistently applied across systems and domains; R1.3 promotes reuse of community-aligned reference standards and ontologies, ensuring compliance and cross-industry compatibility.</t>
  </si>
  <si>
    <t>https://github.com/PistoiaAlliance/FAIRMaturityMatrix/blob/FAIR-MM-V1.2/FAIR_personas/Researcher.md</t>
  </si>
  <si>
    <t>Researcher</t>
  </si>
  <si>
    <t>A person engaged in conducting research, possibly recognized as an occupation by a formal job title. While a researchers produces and uses data, they are not necessarily data scientists (see: data scientist).</t>
  </si>
  <si>
    <t>Debashree Chakrabarti/ Giovanni Nisato</t>
  </si>
  <si>
    <t>Investigator; Principal investigator; Scientist 1; Senior Scientist 1</t>
  </si>
  <si>
    <t>Citizen_Data_Scientist,Data_Scientist,Data_Steward,Lab_manager,Project_Manager,Subject_Matter_Expert</t>
  </si>
  <si>
    <t>Used at Abbvie See also: RDM kit: https://rdmkit.elixir-europe.org/researcher</t>
  </si>
  <si>
    <t>Researchers advance scientific knowledge in public or private organizations by conducting complex experiments that can generate large amounts of data. They design, perform, reproduce experimental studies, collect and analyse results. They publish their results in peer-reviewed journals, private reports, and knowledge management systems. Researchers use a mix of unstructured formats such as PowerPoint, Excel, and Word, alongside structured systems like LIMS, internal databases, and ELNs. They often develop and use domain-specific abbreviations that may not be widely understood outside their immediate teams. Researchers actively seek advanced tools such as knowledge graphs, AI-powered insights, and new technologies to enhance discovery. However, their focus on scientific inquiry can sometimes lead to gaps in data management practices, such as limited coordination with IT for large data handling or storage optimization.</t>
  </si>
  <si>
    <t>There is currently no agreed standard practice for scientific documentation. Chemists, molecular biologists, in vivo scientists, and others—from junior interns to senior researchers—each follow different approaches to data governance, with no unified guidance on how various data types should be managed. Ensuring that electronic lab notebooks (ELNs) are legible remains challenging, as critical information is often hidden in truncated spreadsheets or scattered through acronyms stored elsewhere. Additionally, the use of encrypted or vendor-locked file types limits open access and prevents efficient parsing or reuse of valuable research data.</t>
  </si>
  <si>
    <t> FAIR data principles streamline the research lifecycle from data creation to knowledge sharing. Enhanced metadata makes datasets easier to locate and assess for relevance, while reliable access ensures seamless collaboration across projects. Interoperability connects results across disciplines, fostering integrative discoveries. Alignment with community standards further promotes data reuse, reducing redundancy and supporting transparency. By embedding FAIR practices early—through standardized tools, ontologies, and interoperable systems—researchers can minimize downstream cleanup, improve data quality, and accelerate innovation across the scientific ecosystem.</t>
  </si>
  <si>
    <t>Issues:
There is currently no agreed standard practice for scientific documentation. Different roles—chemists, molecular biologists, in vivo scientists, and others from junior interns to senior researchers—apply diverse and inconsistent approaches to data governance, with no shared guidance on how specific data types should be managed. Electronic lab notebooks (ELNs) often lack clarity, as important details are buried in truncated spreadsheets or hidden behind undefined acronyms. Moreover, the prevalence of encrypted or vendor-locked file types restricts open access, hindering data parsing, interoperability, and reuse.
Latent Gains:
Establishing common documentation standards and adopting interoperable, FAIR-aligned practices would streamline data management across disciplines. Legible and well-structured ELNs would enhance data discoverability and reuse, while open, accessible file formats would enable seamless information exchange and integration. These improvements would not only reduce data loss and duplication but also accelerate scientific insight, collaboration, and regulatory readiness.</t>
  </si>
  <si>
    <t>F2 makes datasets easier to locate and assess for research relevance; A1 ensures reliable access to collaborative project data; I1 allows linking results across domains and disciplines; R1.3 promotes reuse by aligning outputs with community standards</t>
  </si>
  <si>
    <t>https://github.com/PistoiaAlliance/FAIRMaturityMatrix/blob/FAIR-MM-V1.2/FAIR_personas/Subject_Matter_Expert.md</t>
  </si>
  <si>
    <t>Subject_Matter_Expert</t>
  </si>
  <si>
    <t>Deep domain expert who consumes and validates FAIR data rather than managing it. A subject matter expert (SME) is a person with deep domain knowledge, often as a practitioner of the area of knowledge. SME are often consulted by knowledge engineers and ontologists in what is known as ‘knowledge elicitation exercice’ to express use cases and concepts which are then organized and modeled in semantic artifact by knowledge engineers. (NB: SME also stands for Small to Medium Enterprise).</t>
  </si>
  <si>
    <t xml:space="preserve">giovanni.nisato@pistoiaalliance.org / ⁠Sharma, Ranu </t>
  </si>
  <si>
    <t>Domain Specialist; Key Opinion Leader; Technical Advisor; Resource Person; Thought Leader; Principal Investigator</t>
  </si>
  <si>
    <t>Business_Analyst,Data_Steward,Project_Manager,Researcher</t>
  </si>
  <si>
    <r>
      <t xml:space="preserve">The </t>
    </r>
    <r>
      <rPr>
        <b/>
        <sz val="11"/>
        <color theme="1"/>
        <rFont val="Aptos Narrow"/>
        <family val="2"/>
        <scheme val="minor"/>
      </rPr>
      <t>Subject Matter Expert</t>
    </r>
    <r>
      <rPr>
        <sz val="11"/>
        <color theme="1"/>
        <rFont val="Aptos Narrow"/>
        <family val="2"/>
        <scheme val="minor"/>
      </rPr>
      <t xml:space="preserve"> contributes specialized knowledge and insights within their domain to guide decision-making and solve complex problems. They create and validate technical content and documentation, ensuring accuracy and relevance across projects. In addition, they play a key role in training and mentoring team members and stakeholders, fostering knowledge transfer and capability development. By continuously staying informed about emerging trends and industry developments, they maintain and advance their expertise to support organizational goals and innovation.</t>
    </r>
  </si>
  <si>
    <t xml:space="preserve">1. Locating relevant data efficiently can be difficult due to the vast amount of information available and potential lack of proper indexing or metadata.
2. Gaining access to necessary data can be hindered by restrictions, lack of interoperability between systems, or inadequate data sharing policies.
3. Integrating data from various sources may be challenging due to differing formats, standards, or terminologies
4. Ensuring data is well-documented, consistently formatted, and contextually rich </t>
  </si>
  <si>
    <t>FAIR data enhances an SME's ability to efficiently discover, access, and integrate diverse datasets, leading to more informed decision-making and comprehensive insights. It also promotes the sustainable reuse of data, maximizing productivity and driving better business outcomes by ensuring data is well-documented and contextually rich.</t>
  </si>
  <si>
    <t>Issues: Locating relevant data efficiently is often difficult due to the vast amount of available information and insufficient indexing or metadata. Access to necessary data may be restricted by limited interoperability, inadequate sharing policies, or technical barriers between systems. Integrating data from multiple sources can be challenging when formats, standards, or terminologies differ, and ensuring that data is well-documented, consistently structured, and contextually meaningful remains a persistent obstacle.
Latent gains: Implementing FAIR principles would mitigate these challenges by improving data discoverability, accessibility, and interoperability, thereby unlocking greater efficiency, compliance, and opportunities for data reuse and scientific discovery.</t>
  </si>
  <si>
    <t>F1 ensures that datasets and knowledge objects they consult are persistently identified, so scientific references remain unambiguous; F2 provides rich metadata that gives SMEs the context needed to assess the reliability and applicability of data; A1 guarantees seamless access to trusted datasets, enabling efficient validation and decision support; I1 allows integration of FAIR datasets with their domain expertise, making cross-disciplinary insights possible; R1.1 ensures reproducibility of findings, so SMEs can validate results confidently and build upon them.</t>
  </si>
  <si>
    <t>1. Provides specialized knowledge and insights in their domain.
2. Informs decision-making and problem-solving.
3. Creates and validates content and technical documents.
4. Trains and mentors team members and stakeholders.
5. Stays updated on industry developments to maintain expertise.</t>
  </si>
  <si>
    <t>Issues: 1. Locating relevant data efficiently can be difficult due to the vast amount of information available and potential lack of proper indexing or metadata.
2. Gaining access to necessary data can be hindered by restrictions, lack of interoperability between systems, or inadequate data sharing policies.
3. Integrating data from various sources may be challenging due to differing formats, standards, or terminologies
4. Ensuring data is well-documented, consistently formatted, and contextually rich. Latent gains: implementing FAIR principles would reduce these challenges and unlock efficiency, compliance, and reuse.</t>
  </si>
  <si>
    <t>https://github.com/PistoiaAlliance/FAIRMaturityMatrix/blob/FAIR-MM-V1.2/FAIR_personas/Technology_Leader.md</t>
  </si>
  <si>
    <t>Technology_Leader</t>
  </si>
  <si>
    <t xml:space="preserve">CIO/CTO/CDO-level role shaping enterprise technology and digital strategy with FAIR principles embedded} Senior Information and Digital Technology executive. The most senior executive in an enterprise who works with information technology and computer systems, in order to support enterprise goals.  May also drive digital transformations in a company or an organization. For example by  converting traditional "analog" businesses to ones relying on digital workflows and infrastructure. The CDO is responsible for whole process of digital transformation. </t>
  </si>
  <si>
    <t>giovanni.nisato / John Apathy</t>
  </si>
  <si>
    <t>https://www.wikidata.org/wiki/Q2589465
https://en.wikipedia.org/wiki/Chief_digital_officer</t>
  </si>
  <si>
    <t>Chief Information Officer (CIO); Chief Digital Officer (CDO); Chief Data Officer (CDO); Chief AI Officer (CAIO)</t>
  </si>
  <si>
    <t>FAIR_Data_Architect,Business_Analyst,Business_Leader,Business_Owner,Project_Manager,Technology_Leader</t>
  </si>
  <si>
    <t>Some variation and/or combination of these roles are used at all companies.  May be enterprise-wide or divisional (R&amp;D CIO).</t>
  </si>
  <si>
    <t>Technology leader.  Makes executive decisions regarding matters such as the technology strategies, resourcing strategies, purchase of information and communications technology (ICT) solutions from suppliers,  the creation of new ICT systems in-house and the overal capability. Leads and direct the workforce of their specific organization. Recruits managerial talent.  Formulates and execute the  ICT vision, strategy,  governance. Clarifies ICT accountability across functions and roles.  Chief Digital Officer may be a more business oriented role that provides expertise in Digital transformation, general management,  business analysis, adoption of digital technologies and workflows across functions. Reports to the executive teams and / or the board of directors. Reports to the CEO, or COO or CFO depending on the organisation.</t>
  </si>
  <si>
    <t>Too many initiatives and not enough budget or resources.  Fragmented data landscape, poorly described data that are siloed, of poor quality, and not semantically connected based upon a complex IT systems landscape.  Business priorities dictate digital transformation to support data and AI intiatives but majority of budget is consumed by "business as usual" IT needs.</t>
  </si>
  <si>
    <r>
      <rPr>
        <sz val="11"/>
        <color rgb="FF000000"/>
        <rFont val="Aptos Narrow"/>
      </rPr>
      <t xml:space="preserve">The adoption of FAIR principles delivers strategic and operational value across the data and technology landscape. By improving data quality, accessibility, and interoperability, FAIR makes the organization’s data ecosystem </t>
    </r>
    <r>
      <rPr>
        <i/>
        <sz val="11"/>
        <color rgb="FF000000"/>
        <rFont val="Aptos Narrow"/>
      </rPr>
      <t>AI-ready</t>
    </r>
    <r>
      <rPr>
        <sz val="11"/>
        <color rgb="FF000000"/>
        <rFont val="Aptos Narrow"/>
      </rPr>
      <t xml:space="preserve"> and enhances the overall return on technology investments. It enables smoother data integration across platforms, reduces manual effort in data preparation, and minimizes the burden on scientific and technical resources. As a result, technology leaders can focus on accelerating digital transformation, scaling analytics and AI initiatives, and driving innovation through trusted, reusable data assets that support business growth and operational excellence.</t>
    </r>
  </si>
  <si>
    <t>Issues: Too many initiatives and not enough budget or resources.  Fragmented data landscape, poorly described data that are siloed, of poor quality, and not semantically connected based upon a complex IT systems landscape.  Business priorities dictate digital transformation to support data and AI intiatives but majority of budget is consumed by "business as usual" IT needs.. Latent gains: implementing FAIR principles would reduce these challenges and unlock efficiency, compliance, and reuse.</t>
  </si>
  <si>
    <t>F1 ensures persistent identifiers across the enterprise architecture, providing a foundation for scalable and trusted digital platforms; F2 delivers rich metadata that enables technology leaders to evaluate system interoperability and data readiness; A1 guarantees that enterprise data is reliably accessible via standardized protocols, reducing vendor lock-in and integration costs; I1/I2 enable interoperability and automation across the IT landscape, supporting digital transformation; R1.2 clarifies reuse conditions, allowing safe data sharing with partners and ecosystems; R1.3 promotes alignment with community and industry standards, strengthening the organization’s digital maturity and innovation capacity.</t>
  </si>
  <si>
    <t>Improve data quality and make data landscape "AI ready" to increase the impact of technology investments on business .  Reduce manual effort and subsequent burden on scientific resources for data findability, quality and re-use through data interoperability. {()} {[( F1, A1, I1, R1.1 )]} – F1 provides general benefit for this role; A1 provides general benefit for this role; I1 provides general benefit for this role; R1.1 provides general benefit for this role.</t>
  </si>
  <si>
    <t>https://github.com/PistoiaAlliance/FAIRMaturityMatrix/edit/FAIR-MM-V1.2/FAIR_personas/Data_Engineer.md</t>
  </si>
  <si>
    <t>Data_Engineer</t>
  </si>
  <si>
    <r>
      <rPr>
        <sz val="11"/>
        <color rgb="FF000000"/>
        <rFont val="Aptos Narrow"/>
      </rPr>
      <t xml:space="preserve">A Data Engineer designs, builds, and manages systems that collect, store, and process large amounts of data. Their job is to ensure that data is accurate, reliable, and accessible for analysis and decision-making. They help organize data so it can easily be discovered, safely accessed by those who need it, used across different systems, and shared or reused by others. In simple terms, Data Engineers make sure data is well-structured and easy to use, while also following best practices so that everyone can get maximum value from data::::::: </t>
    </r>
    <r>
      <rPr>
        <sz val="11"/>
        <color rgb="FF186C24"/>
        <rFont val="Aptos Narrow"/>
      </rPr>
      <t>[RS] --&gt; A Data Engineer builds and maintains the infrastructure needed for data collection, storage, and processing. They design data pipelines, optimize databases, manage large-scale data architectures, and ensure data quality and reliability throughout the analytics process.</t>
    </r>
  </si>
  <si>
    <t>Kathleen Rand/ Tara Kumar / Giovanni Nisato</t>
  </si>
  <si>
    <t>https://www.wikidata.org/wiki/Q104659813</t>
  </si>
  <si>
    <r>
      <rPr>
        <sz val="11"/>
        <color rgb="FF000000"/>
        <rFont val="Aptos Narrow"/>
        <scheme val="minor"/>
      </rPr>
      <t xml:space="preserve">Research Software Engineer </t>
    </r>
    <r>
      <rPr>
        <sz val="11"/>
        <color rgb="FF12501C"/>
        <rFont val="Aptos Narrow"/>
        <scheme val="minor"/>
      </rPr>
      <t>[RS]: Data Infrastructure Engineer; ETL Developer; Data Platform Engineer, Big Data Engineer; Data Pipeline Engineer</t>
    </r>
  </si>
  <si>
    <t>FAIR_Data_Architect,Clinical_Data_Manager,Data_Steward,Data_Integration_Specialist,DataOwner,Data_Scientist,Data_Standards_and_Governance_Expert,Ontologist,Researcher</t>
  </si>
  <si>
    <t>Used at : Amgen</t>
  </si>
  <si>
    <r>
      <rPr>
        <sz val="11"/>
        <color rgb="FF186C24"/>
        <rFont val="Aptos Narrow"/>
        <scheme val="minor"/>
      </rPr>
      <t xml:space="preserve">[RS] The core responsibilities of a Data Engineer is designing and building systems for data collection, storage, and processing, ensuring data is accurate, reliable, and flows efficiently through scalable pipelines. They also prepare and structure data to make it readily available for analysis and informed decision-making.
</t>
    </r>
    <r>
      <rPr>
        <sz val="11"/>
        <color rgb="FFFF0000"/>
        <rFont val="Aptos Narrow"/>
        <scheme val="minor"/>
      </rPr>
      <t xml:space="preserve">
[GN] A Data Engineer in a large pharmaceutical company is responsible for designing, building, and maintaining the infrastructure that enables large-scale data collection, storage, and analysis. Their day-to-day work includes developing ETL (extract-transform-load) pipelines, integrating data from diverse sources such as EDC systems, laboratory information management systems (LIMS), imaging platforms, and real-world evidence datasets. They implement data models, manage cloud or on-premise databases, optimize query performance, and ensure that pipelines are scalable and reliable. Data Engineers also collaborate closely with Data Scientists, Clinical Data Managers, and IT teams to ensure that datasets are structured, clean, and ready for analytics or regulatory submission.
</t>
    </r>
  </si>
  <si>
    <r>
      <rPr>
        <sz val="11"/>
        <color rgb="FF186C24"/>
        <rFont val="Aptos Narrow"/>
        <scheme val="minor"/>
      </rPr>
      <t xml:space="preserve">[RS]: Data Engineers face challenges such as handling missing or incomplete data and metadata when aggregating information from heterogeneous sources, especially those that are siloed or lack standardization. They must also deal with differences in data formats, schemas, and source reliability while designing robust and scalable data pipelines. Ensuring secure storage, efficient processing, and compliance with data governance regulations adds layers of complexity to their work. latent gain: Implementing FAIR principles (Findable, Accessible, Interoperable, Reusable) can help address many of these issues, leading to improved efficiency, compliance, and greater potential for data reuse across the organization.      </t>
    </r>
    <r>
      <rPr>
        <sz val="11"/>
        <color rgb="FF000000"/>
        <rFont val="Aptos Narrow"/>
        <scheme val="minor"/>
      </rPr>
      <t xml:space="preserve">                 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t>
    </r>
  </si>
  <si>
    <t>[GN] FAIR principles bring  benefits to Data Engineers by providing standardized approaches for data interoperability, discoverability, and reuse. By adopting FAIR-aligned metadata, ontologies, and standardized formats, Data Engineers can streamline data integration and reduce manual mapping efforts. Improved data provenance and accessibility facilitate collaboration across teams and accelerate analytics, machine learning, and regulatory reporting. FAIR practices also support automation of data pipelines, improve reproducibility, and reduce operational risk, enabling Data Engineers to focus more on innovation and optimization rather than time-consuming data wrangling. 
* 	Findable (F1–F4): By applying standardized metadata and persistent identifiers, data becomes easier to locate and retrieve across multiple systems. This reduces time spent searching for datasets and ensures that all relevant data can be discovered for analytics or regulatory needs.
	•	Accessible (A1–A2): Implementing well-defined access protocols and ensuring that metadata remains accessible even if the data itself is restricted allows teams to retrieve the data they need efficiently, while maintaining compliance with governance and privacy requirements.
	•	Interoperable (I1–I3): Using controlled vocabularies, ontologies, and standardized data formats enables seamless integration of heterogeneous datasets from EDCs, LIMS, imaging, and real-world evidence systems. This improves cross-team collaboration and reduces errors caused by inconsistent data formats.
	•	Reusable (R1–R1.3): Clear documentation of data provenance, usage licenses, and quality metrics ensures that datasets can be reused for secondary analysis, machine learning, or regulatory reporting. This enhances reproducibility, reduces redundant effort, and supports long-term operational efficiency.</t>
  </si>
  <si>
    <t xml:space="preserve">[GN] neds to be clarified  - keep / </t>
  </si>
  <si>
    <t>Issues: 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 Latent gains: implementing FAIR principles would reduce these challenges and unlock efficiency, compliance, and reuse.</t>
  </si>
  <si>
    <t>F1 embeds persistent identifiers into pipelines, ensuring that data remains traceable across ingestion and transformation steps; F2 ensures metadata is captured and propagated, enabling automation and monitoring of data flows; A1 guarantees that engineered systems provide secure and reliable access to datasets at scale; I1/I2 enable interoperability between heterogeneous systems and formats, reducing manual reconciliation; R1.1 supports reproducibility of pipeline outputs, ensuring consistent results across environments.</t>
  </si>
  <si>
    <r>
      <rPr>
        <sz val="11"/>
        <color rgb="FF000000"/>
        <rFont val="Aptos Narrow"/>
        <scheme val="minor"/>
      </rPr>
      <t>[TKG]   F1 embeds</t>
    </r>
    <r>
      <rPr>
        <b/>
        <sz val="11"/>
        <color rgb="FF000000"/>
        <rFont val="Aptos Narrow"/>
        <scheme val="minor"/>
      </rPr>
      <t xml:space="preserve"> globally unique, persistent </t>
    </r>
    <r>
      <rPr>
        <sz val="11"/>
        <color rgb="FF000000"/>
        <rFont val="Aptos Narrow"/>
        <scheme val="minor"/>
      </rPr>
      <t xml:space="preserve">identifiers into </t>
    </r>
    <r>
      <rPr>
        <b/>
        <sz val="11"/>
        <color rgb="FF000000"/>
        <rFont val="Aptos Narrow"/>
        <scheme val="minor"/>
      </rPr>
      <t xml:space="preserve">data </t>
    </r>
    <r>
      <rPr>
        <sz val="11"/>
        <color rgb="FF000000"/>
        <rFont val="Aptos Narrow"/>
        <scheme val="minor"/>
      </rPr>
      <t>pipelines, ensuring that data remains traceable across ingestion, transformation, and consumption steps;
F2 ensures</t>
    </r>
    <r>
      <rPr>
        <b/>
        <sz val="11"/>
        <color rgb="FF000000"/>
        <rFont val="Aptos Narrow"/>
        <scheme val="minor"/>
      </rPr>
      <t xml:space="preserve"> that rich, standardized </t>
    </r>
    <r>
      <rPr>
        <sz val="11"/>
        <color rgb="FF000000"/>
        <rFont val="Aptos Narrow"/>
        <scheme val="minor"/>
      </rPr>
      <t xml:space="preserve">metadata is captured and propagated </t>
    </r>
    <r>
      <rPr>
        <b/>
        <sz val="11"/>
        <color rgb="FF000000"/>
        <rFont val="Aptos Narrow"/>
        <scheme val="minor"/>
      </rPr>
      <t>end‑to‑end</t>
    </r>
    <r>
      <rPr>
        <sz val="11"/>
        <color rgb="FF000000"/>
        <rFont val="Aptos Narrow"/>
        <scheme val="minor"/>
      </rPr>
      <t xml:space="preserve">, enabling automation and monitoring </t>
    </r>
    <r>
      <rPr>
        <b/>
        <sz val="11"/>
        <color rgb="FF000000"/>
        <rFont val="Aptos Narrow"/>
        <scheme val="minor"/>
      </rPr>
      <t xml:space="preserve">and reliable discovery </t>
    </r>
    <r>
      <rPr>
        <sz val="11"/>
        <color rgb="FF000000"/>
        <rFont val="Aptos Narrow"/>
        <scheme val="minor"/>
      </rPr>
      <t xml:space="preserve">of data flows;
A1 guarantees that engineered systems </t>
    </r>
    <r>
      <rPr>
        <b/>
        <sz val="11"/>
        <color rgb="FF000000"/>
        <rFont val="Aptos Narrow"/>
        <scheme val="minor"/>
      </rPr>
      <t xml:space="preserve">expose </t>
    </r>
    <r>
      <rPr>
        <sz val="11"/>
        <color rgb="FF000000"/>
        <rFont val="Aptos Narrow"/>
        <scheme val="minor"/>
      </rPr>
      <t xml:space="preserve">secure and reliable access to datasets at scale via </t>
    </r>
    <r>
      <rPr>
        <b/>
        <sz val="11"/>
        <color rgb="FF000000"/>
        <rFont val="Aptos Narrow"/>
        <scheme val="minor"/>
      </rPr>
      <t xml:space="preserve">well‑defined, standardized protocols with appropriate authentication and authorization;
</t>
    </r>
    <r>
      <rPr>
        <sz val="11"/>
        <color rgb="FF000000"/>
        <rFont val="Aptos Narrow"/>
        <scheme val="minor"/>
      </rPr>
      <t xml:space="preserve">I1 / I2 enable interoperability between heterogeneous systems and formats </t>
    </r>
    <r>
      <rPr>
        <b/>
        <sz val="11"/>
        <color rgb="FF000000"/>
        <rFont val="Aptos Narrow"/>
        <scheme val="minor"/>
      </rPr>
      <t xml:space="preserve">by enforcing standard data models, formats, and vocabularies, </t>
    </r>
    <r>
      <rPr>
        <sz val="11"/>
        <color rgb="FF000000"/>
        <rFont val="Aptos Narrow"/>
        <scheme val="minor"/>
      </rPr>
      <t xml:space="preserve">reducing manual reconciliation </t>
    </r>
    <r>
      <rPr>
        <b/>
        <sz val="11"/>
        <color rgb="FF000000"/>
        <rFont val="Aptos Narrow"/>
        <scheme val="minor"/>
      </rPr>
      <t xml:space="preserve">and integration effort;
</t>
    </r>
    <r>
      <rPr>
        <sz val="11"/>
        <color rgb="FF000000"/>
        <rFont val="Aptos Narrow"/>
        <scheme val="minor"/>
      </rPr>
      <t xml:space="preserve">R1.1 supports reproducibility of pipeline outputs </t>
    </r>
    <r>
      <rPr>
        <b/>
        <sz val="11"/>
        <color rgb="FF000000"/>
        <rFont val="Aptos Narrow"/>
        <scheme val="minor"/>
      </rPr>
      <t xml:space="preserve">by capturing and maintaining detailed provenance (input sources, versions, transformation logic, parameters, and runtime environment), </t>
    </r>
    <r>
      <rPr>
        <sz val="11"/>
        <color rgb="FF000000"/>
        <rFont val="Aptos Narrow"/>
        <scheme val="minor"/>
      </rPr>
      <t>ensuring consistent results across environments.</t>
    </r>
  </si>
  <si>
    <t>https://github.com/PistoiaAlliance/FAIRMaturityMatrix/edit/FAIR-MM-V1.2/FAIR_personas/Data_Integration_Specialist.md</t>
  </si>
  <si>
    <t>Data_Integration_Specialist</t>
  </si>
  <si>
    <r>
      <rPr>
        <sz val="11"/>
        <color rgb="FF000000"/>
        <rFont val="Aptos Narrow"/>
      </rPr>
      <t xml:space="preserve">A Data Integration Specialist focuses specifically on combining and connecting data from different sources. Their main job is to make sure data from multiple databases and systems works together smoothly, allowing organizations to use all their information more effectively. </t>
    </r>
    <r>
      <rPr>
        <sz val="11"/>
        <color rgb="FF186C24"/>
        <rFont val="Aptos Narrow"/>
      </rPr>
      <t>[RS] --&gt; A Data Integration Specialist focuses on combining data from different sources, ensuring that data from various systems can work together. Their main tasks include designing ETL (Extract, Transform, Load) processes, creating data mappings, and solving integration issues so data flows smoothly between platforms.</t>
    </r>
  </si>
  <si>
    <t>Ranu Sharma / Debashree Chakrabarti / Tara kumar</t>
  </si>
  <si>
    <t>https://www.wikidata.org/wiki/Q1149029</t>
  </si>
  <si>
    <r>
      <rPr>
        <sz val="11"/>
        <color rgb="FF7030A0"/>
        <rFont val="Aptos Narrow"/>
        <scheme val="minor"/>
      </rPr>
      <t xml:space="preserve">Data Engineer [GN: this does not seem right] </t>
    </r>
    <r>
      <rPr>
        <sz val="11"/>
        <color rgb="FFFF0000"/>
        <rFont val="Aptos Narrow"/>
        <scheme val="minor"/>
      </rPr>
      <t xml:space="preserve">[RS]: Data Integration Engineer
</t>
    </r>
  </si>
  <si>
    <t>Business_Analyst,Data_Steward,Researcher</t>
  </si>
  <si>
    <t>[RS] A Data Integration Specialist locates and connects data from diverse sources, ensuring smooth and accurate integration of data into workflows, pipelines, or models. They focus on making sure that combined data outputs are correct and accessible to downstream users or systems, enabling seamless data flow and interoperability across platforms.</t>
  </si>
  <si>
    <t xml:space="preserve">[RS]: Issues: Data Integration Specialists face challenges such as managing missing data and incomplete metadata, especially when working with siloed or isolated data sources. They must reconcile differences in data formats, schemas, and naming conventions to enable smooth integration across platforms. Ensuring secure data exchange and compliance with privacy regulations adds another layer of complexity. Latent gains: Implementation of FAIR principles (Findable, Accessible, Interoperable, Reusable) can help reduce integration difficulties, improve efficiency, support compliance, and enhance data reuse.
</t>
  </si>
  <si>
    <t>ensures FAIR data implementation by developing and maintaining systems that enable seamless data interoperability and integration across different platforms. They ensure data is accessible and compatible by utilizing standardized protocols and formats, promoting efficient data sharing and reuse. {()} {[( F1, A1, I1, R1.1 )]} – F1 provides general benefit for this role; A1 provides general benefit for this role; I1 provides general benefit for this role; R1.1 provides general benefit for this role.Issues: [RS] --&gt; Data Integration Specialists often encounter challenges such as ensuring data quality when merging information from different sources, including handling missing or inconsistent data. They must reconcile varying formats and schemas, making sure diverse systems can communicate effectively. Managing large volumes of data and scaling integration solutions to meet organizational demands is another hurdle. Additionally, they face challenges in maintaining secure data transfers, adhering to privacy regulations, and keeping up with frequent changes in source systems which can disrupt integrations. Monitoring and resolving errors to maintain consistent, reliable data flow is a critical ongoing task.</t>
  </si>
  <si>
    <t>check if this overlaps with Data Steward?</t>
  </si>
  <si>
    <t>Issues: Missing data standards or different practices while handling the same type of data make workflow integrations complex.. Latent gains: implementing FAIR principles would reduce these challenges and unlock efficiency, compliance, and reuse.</t>
  </si>
  <si>
    <t>F1 ensures that data flowing through pipelines is consistently identified with persistent IDs, reducing errors in integration; F2 provides metadata that describes datasets clearly, allowing automated mapping and transformation between systems; A1 guarantees that integrated systems can access source data reliably through standardized protocols; I1 enables semantic interoperability, so data from different domains can be combined without manual reconciliation; I2 supports automated integration processes, reducing maintenance and speeding deployment of new pipelines.</t>
  </si>
  <si>
    <r>
      <rPr>
        <sz val="11"/>
        <color rgb="FF7030A0"/>
        <rFont val="Aptos Narrow"/>
        <scheme val="minor"/>
      </rPr>
      <t xml:space="preserve">[TKG] F1 ensures that data flowing through pipelines is consistently identified with </t>
    </r>
    <r>
      <rPr>
        <b/>
        <sz val="11"/>
        <color rgb="FF7030A0"/>
        <rFont val="Aptos Narrow"/>
        <scheme val="minor"/>
      </rPr>
      <t xml:space="preserve">globally unique, persistent identifiers, </t>
    </r>
    <r>
      <rPr>
        <sz val="11"/>
        <color rgb="FF7030A0"/>
        <rFont val="Aptos Narrow"/>
        <scheme val="minor"/>
      </rPr>
      <t xml:space="preserve">reducing errors and </t>
    </r>
    <r>
      <rPr>
        <b/>
        <sz val="11"/>
        <color rgb="FF7030A0"/>
        <rFont val="Aptos Narrow"/>
        <scheme val="minor"/>
      </rPr>
      <t xml:space="preserve">ambiguity </t>
    </r>
    <r>
      <rPr>
        <sz val="11"/>
        <color rgb="FF7030A0"/>
        <rFont val="Aptos Narrow"/>
        <scheme val="minor"/>
      </rPr>
      <t xml:space="preserve">during integration;
F2 provides </t>
    </r>
    <r>
      <rPr>
        <b/>
        <sz val="11"/>
        <color rgb="FF7030A0"/>
        <rFont val="Aptos Narrow"/>
        <scheme val="minor"/>
      </rPr>
      <t xml:space="preserve">rich, standardized </t>
    </r>
    <r>
      <rPr>
        <sz val="11"/>
        <color rgb="FF7030A0"/>
        <rFont val="Aptos Narrow"/>
        <scheme val="minor"/>
      </rPr>
      <t xml:space="preserve">metadata that describes datasets clearly, allowing </t>
    </r>
    <r>
      <rPr>
        <b/>
        <sz val="11"/>
        <color rgb="FF7030A0"/>
        <rFont val="Aptos Narrow"/>
        <scheme val="minor"/>
      </rPr>
      <t>automated, machine-driven mapping</t>
    </r>
    <r>
      <rPr>
        <sz val="11"/>
        <color rgb="FF7030A0"/>
        <rFont val="Aptos Narrow"/>
        <scheme val="minor"/>
      </rPr>
      <t xml:space="preserve"> and transformation between systems;
A1 guarantees that integrated systems can access source data reliably</t>
    </r>
    <r>
      <rPr>
        <b/>
        <sz val="11"/>
        <color rgb="FF7030A0"/>
        <rFont val="Aptos Narrow"/>
        <scheme val="minor"/>
      </rPr>
      <t xml:space="preserve"> and securely </t>
    </r>
    <r>
      <rPr>
        <sz val="11"/>
        <color rgb="FF7030A0"/>
        <rFont val="Aptos Narrow"/>
        <scheme val="minor"/>
      </rPr>
      <t xml:space="preserve">through </t>
    </r>
    <r>
      <rPr>
        <b/>
        <sz val="11"/>
        <color rgb="FF7030A0"/>
        <rFont val="Aptos Narrow"/>
        <scheme val="minor"/>
      </rPr>
      <t>well-defined,</t>
    </r>
    <r>
      <rPr>
        <sz val="11"/>
        <color rgb="FF7030A0"/>
        <rFont val="Aptos Narrow"/>
        <scheme val="minor"/>
      </rPr>
      <t xml:space="preserve"> standardized protocols;
I1 enables semantic interoperability </t>
    </r>
    <r>
      <rPr>
        <b/>
        <sz val="11"/>
        <color rgb="FF7030A0"/>
        <rFont val="Aptos Narrow"/>
        <scheme val="minor"/>
      </rPr>
      <t>by using shared data models and standard vocabularies,</t>
    </r>
    <r>
      <rPr>
        <sz val="11"/>
        <color rgb="FF7030A0"/>
        <rFont val="Aptos Narrow"/>
        <scheme val="minor"/>
      </rPr>
      <t xml:space="preserve"> so data from different domains can be combined without manual reconciliation;
I2 supports </t>
    </r>
    <r>
      <rPr>
        <b/>
        <sz val="11"/>
        <color rgb="FF7030A0"/>
        <rFont val="Aptos Narrow"/>
        <scheme val="minor"/>
      </rPr>
      <t xml:space="preserve">automated, scalable </t>
    </r>
    <r>
      <rPr>
        <sz val="11"/>
        <color rgb="FF7030A0"/>
        <rFont val="Aptos Narrow"/>
        <scheme val="minor"/>
      </rPr>
      <t xml:space="preserve">integration processes, reducing maintenance </t>
    </r>
    <r>
      <rPr>
        <b/>
        <sz val="11"/>
        <color rgb="FF7030A0"/>
        <rFont val="Aptos Narrow"/>
        <scheme val="minor"/>
      </rPr>
      <t xml:space="preserve">effort </t>
    </r>
    <r>
      <rPr>
        <sz val="11"/>
        <color rgb="FF7030A0"/>
        <rFont val="Aptos Narrow"/>
        <scheme val="minor"/>
      </rPr>
      <t xml:space="preserve">and speeding deployment of new or </t>
    </r>
    <r>
      <rPr>
        <b/>
        <sz val="11"/>
        <color rgb="FF7030A0"/>
        <rFont val="Aptos Narrow"/>
        <scheme val="minor"/>
      </rPr>
      <t xml:space="preserve">updated </t>
    </r>
    <r>
      <rPr>
        <sz val="11"/>
        <color rgb="FF7030A0"/>
        <rFont val="Aptos Narrow"/>
        <scheme val="minor"/>
      </rPr>
      <t>pipelines.</t>
    </r>
  </si>
  <si>
    <t>https://github.com/PistoiaAlliance/FAIRMaturityMatrix/edit/FAIR-MM-V1.2/FAIR_personas/Data_Quality_Manager.md</t>
  </si>
  <si>
    <t>Data_Quality_Manager</t>
  </si>
  <si>
    <t>{Role defining, monitoring, and remediating data quality issues; FAIR adoption part of remit} Maintains observability, accuracy, completeness, and consistency of enterprise data.</t>
  </si>
  <si>
    <t>GxP Quality Lead; Regulatory Affairs Specialist; Validation Lead</t>
  </si>
  <si>
    <t>Business_Owner,Data_Steward,Lab_Manager,Project_Manager</t>
  </si>
  <si>
    <t>Used at Pfizer</t>
  </si>
  <si>
    <t>Provides tooling that can assess data quality during its lifecyle; often in connection with enterprise catalogue or a business application</t>
  </si>
  <si>
    <t>managing missing data and metadata, esp when sources are siloed</t>
  </si>
  <si>
    <t xml:space="preserve">Data maybe FAIR but if it's of low quality it can be useless </t>
  </si>
  <si>
    <t>Issues: managing missing data and metadata, esp when sources are siloed. Latent gains: implementing FAIR principles would reduce these challenges and unlock efficiency, compliance, and reuse.</t>
  </si>
  <si>
    <t>F1 provides persistent identifiers that ensure data quality issues can be traced back to specific sources and corrected; F2 enriches metadata so quality dimensions (accuracy, completeness, timeliness) can be assessed and monitored; A1 guarantees that quality-controlled datasets remain accessible to the right users without delays; I1 enables interoperability so quality improvements in one domain flow consistently into others; R1.1 ensures reproducibility of quality checks and audits, demonstrating compliance and improvement over time.</t>
  </si>
  <si>
    <t>https://github.com/PistoiaAlliance/FAIRMaturityMatrix/edit/FAIR-MM-V1.2/FAIR_personas/FAIR_Data_Architect.md</t>
  </si>
  <si>
    <t>FAIR_Data_Architect</t>
  </si>
  <si>
    <t>A role in an organization focusing on processes, models and policies that manages the generation, use and governance of data, metadata  and data standards in a FAIR compliant manner. Develops processes to deliver and maintain FAIR data and services</t>
  </si>
  <si>
    <t>giovanni.nisato@pistoiaalliance.org/ Nalini Mehta/Baptiste Tauzin</t>
  </si>
  <si>
    <t>FAIR_Architect; Information_Architect; Data_Architecture Lead; Metadata Modeler</t>
  </si>
  <si>
    <t>FAIR_Community_Manager,Clinical_Data_Manager,Data_Engineer,Data_Standards_and_Governance_Expert,Ontologist,Technology_Leader</t>
  </si>
  <si>
    <t>Used at Pfizer, GSK</t>
  </si>
  <si>
    <t>A FAIR Architect in a large pharmaceutical organization is responsible for designing and maintaining the enterprise data architecture with a focus on FAIR compliance. This includes defining data models, metadata schemas, ontologies, and standards that ensure all relevant organizational data is findable, accessible, interoperable, and reusable. They develop governance policies, workflows, and pipelines to deliver FAIR data and services, often coordinating with Data Engineers, Clinical Data Managers, and FAIR Community Managers. Their work includes evaluating and implementing data platforms, standardizing data formats, establishing data lineage and provenance frameworks, and ensuring regulatory compliance while enabling cross-functional analytics, AI, and machine learning initiatives.</t>
  </si>
  <si>
    <t>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t>
  </si>
  <si>
    <t>FAIR-aligned data facilitates the work of the data architect in the long run . Standardized metadata, ontologies, and governance frameworks reduce errors, streamline integration, and improve collaboration across departments. Data is consistently structured, discoverable, and of controllable quality across multiple sources, making it easier for teams to access and leverage information for analytics, regulatory submissions, and research.  By establishing clear data lineage, provenance, and documentation, FAIR practices enhance transparency and trust in data, support reproducibility, and enable efficient reuse for future projects. Ultimately, FAIR adoption allows the FAIR Architect to optimize data workflows, minimize duplication of effort, and create a scalable, sustainable data infrastructure that drives better decision-making across the organization.</t>
  </si>
  <si>
    <t>[GN] merged with FAIR architect /done</t>
  </si>
  <si>
    <t>Issues: 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 Latent gains: implementing FAIR principles would reduce these challenges and unlock efficiency, compliance, and reuse.</t>
  </si>
  <si>
    <t>F1 ensures persistent identifiers are embedded into the data architecture, enabling consistent referencing across systems; F2 enforces rich metadata standards, making datasets machine-actionable and discoverable by design; A1 guarantees accessible services and APIs for data delivery within the enterprise; I1/I2 enable semantic and technical interoperability across platforms and applications; R1.1 ensures reproducibility of workflows and system outputs, providing confidence in architectural reliability.</t>
  </si>
  <si>
    <t>https://github.com/PistoiaAlliance/FAIRMaturityMatrix/edit/FAIR-MM-V1.2/FAIR_personas/Knowledge-Enabled_Citizen.md</t>
  </si>
  <si>
    <t>Knowledge-Enabled_Citizen</t>
  </si>
  <si>
    <t>This role emerges  in organizations with high FAIR maturity (levels 4–5) and broad, well-curated data ecosystems, where interoperable, reusable data products are fully embedded into daily operations. Highly educated domain expert empowered by FAIR data products (e.g. query services, knowledge graphs) to find information in complex (FAIR) data sets daily decisions. Organization member who is empowered with access to information, possesses critical thinking skills, enabling them to contribute effectively to the organization’s goals and objectives.</t>
  </si>
  <si>
    <r>
      <t>giovanni.nisato@pistoiaalliance.org</t>
    </r>
    <r>
      <rPr>
        <sz val="11"/>
        <color rgb="FF467886"/>
        <rFont val="Aptos Narrow"/>
      </rPr>
      <t xml:space="preserve">
Kathleen Rand</t>
    </r>
  </si>
  <si>
    <t xml:space="preserve">https://pistoiaalliance.github.io/FAIRMaturityMatrix/resources_lexicon
https://www.knowledgescientist.org/ {to double check} </t>
  </si>
  <si>
    <t xml:space="preserve"> Data Consumer; Intelligence Consumer;  Leader;  Manager; Business Owner; </t>
  </si>
  <si>
    <t>Business_Leader,Technology_leader,Business_Analyst,Data_Steward,Researcher</t>
  </si>
  <si>
    <t>A Knowledge-Enabled Citizen leverages interoperable data assets and advanced analytical services—such as AI-assisted tools and provenance-linked, machine-interpretable datasets—to explore, validate, and apply information in their domain.
These individuals are empowered by transparent access to high-quality data and possess the critical thinking skills needed to translate insights into meaningful contributions toward the organization’s goals. This role typically emerges within organizations operating at FAIR maturity levels 4–5, where data ecosystems are integrated, standardized, and intelligence-driven.</t>
  </si>
  <si>
    <t xml:space="preserve">NB: the issues and latent gains are assumed to be largely reduced at high level of FAIR maturity in which this persona emerges. They are reminded for completeness:
Issues: data fragmentation across silos and systems; inconsistent metadata and ontologies; limited discoverability of legacy data; unclear or inconsistent regulatory documentation; high duplication of experiments; delayed project timelines due to inefficient data retrieval. 
Latent gains: clear demonstration of value in standardising processes; opportunities to reduce operational inefficiencies; stronger case for investing in data governance infrastructure; ability to highlight competitive advantage from improved data reusability.
</t>
  </si>
  <si>
    <t xml:space="preserve"> Knowledge-Enabled Citizen can independently access and apply information to drive insight, innovation, and informed decision-making.  FAIR benefits include: improved efficiency through fast, reliable access to high-quality, FAIR-aligned data; enhanced regulatory compliance through standardized documentation and transparent provenance; consistent metadata and shared ontologies enabling seamless cross-project and cross-domain data integration; and better utilization of historical, experimental, and real-world data to inform evidence-based decisions. FAIR principles also foster stronger collaboration across research, clinical, and regulatory functions and accelerate innovation through streamlined knowledge discovery and sharing between internal teams and external partners.</t>
  </si>
  <si>
    <t>to check/ (proposal to merge with Subject Matter/  NB: this would require a significant revision of the FAIR MM text level 5)</t>
  </si>
  <si>
    <t>F1 ensures that datasets and knowledge objects they use are persistently identified, avoiding ambiguity in scientific or technical references; F2 provides rich metadata that gives necessary context for non-data specialists to assess quality and applicability; A1 guarantees seamless access to the data and knowledge products they rely on, without technical barriers; I1 enables integration of cross-domain knowledge into their specialized research area; R1.3 promotes reuse of trusted community standards, helping them apply external datasets confidently in their own domain.</t>
  </si>
  <si>
    <t>https://github.com/PistoiaAlliance/FAIRMaturityMatrix/tree/FAIR-MM-V1.2/FAIR_personas</t>
  </si>
  <si>
    <t>Legal_Data_Expert</t>
  </si>
  <si>
    <t>Provides legal and regulatory expertise to ensure data is managed, shared, and reused in compliance with privacy, consent, and intellectual property requirements, while supporting FAIR-aligned practices across the organization.Has expertise in privacy law, data governance, and intellectual property; ability to draft and interpret data sharing agreements; experience in regulatory compliance and ethical data use in research and business contexts.</t>
  </si>
  <si>
    <t>Giovanni Nisato</t>
  </si>
  <si>
    <t>{missing URL/URI)</t>
  </si>
  <si>
    <t>Compliance Officer; Data Protection Specialist; Regulatory Counsel; Risk Management Expert</t>
  </si>
  <si>
    <t>Interprets and apply data protection regulations (e.g., GDPR, HIPAA); review and validate licensing frameworks for data reuse; advise on ethical and legal aspects of data sharing; collaborate with Data Stewards and Data Protection Officers to align FAIR practices with legal obligations.</t>
  </si>
  <si>
    <t>{[Issues: fragmented ownership and opaque provenance; missing persistent identifiers and lineage impede audit trails; inconsistent/insufficient metadata blocks discoverability and lawful-basis checks; unclear or absent licensing/usage terms; ad-hoc access controls and cross-border transfers heighten privacy risk; slow DSAR/eDiscovery due to siloed data; unmanaged retention/disposal; difficulty evidencing compliance in audits; contract negotiations stall over uncertainty. Latent gains if FAIR adopted: clear identifiers and provenance shorten audits/incident response; standard metadata enables lawful-basis and purpose-limitation checks; explicit licenses unlock compliant reuse; role-based access and APIs support consent/least-privilege; automated policy checks reduce legal review time; faster partner onboarding and data sharing; lower regulatory exposure and cost.]}</t>
  </si>
  <si>
    <t>For a Legal Data Expert, the adoption of FAIR principles strengthens the organization’s ability to manage, share, and reuse data in full compliance with privacy, consent, and intellectual property regulations. By aligning data governance practices with FAIR, legal experts can ensure that data accessibility  respects regulatory and contractual access restrictions, safeguarding sensitive information while enabling controlled sharing. At the same time, FAIR enhances the traceability and reproducibility of data handling processes , ensuring that legal and ethical standards are consistently applied and verifiable. This transparency not only supports compliance and audit readiness but also builds organizational trust in data-driven activities, fostering responsible innovation and lawful data reuse across research and business contexts.</t>
  </si>
  <si>
    <t>Issues: fragmented ownership and opaque provenance; missing persistent identifiers and lineage impede audit trails; inconsistent/insufficient metadata blocks discoverability and lawful-basis checks; unclear or absent licensing/usage terms; ad-hoc access controls and cross-border transfers heighten privacy risk; slow DSAR/eDiscovery due to siloed data; unmanaged retention/disposal; difficulty evidencing compliance in audits; contract negotiations stall over uncertainty. Latent gains if FAIR adopted: clear identifiers and provenance shorten audits/incident response; standard metadata enables lawful-basis and purpose-limitation checks; explicit licenses unlock compliant reuse; role-based access and APIs support consent/least-privilege; automated policy checks reduce legal review time; faster partner onboarding and data sharing; lower regulatory exposure and cost.</t>
  </si>
  <si>
    <t>A1.2 enforces secure, role-based access aligned with privacy law; R1.1 ensures reproducibility of compliance records for regulators</t>
  </si>
  <si>
    <t>Adds value</t>
  </si>
  <si>
    <t>{[( A1.2, R1.1 )]} – A1.2 ensures access restrictions meet regulatory needs; R1.1 provides reproducibility of legal data handling.</t>
  </si>
  <si>
    <t>Z</t>
  </si>
  <si>
    <t>Bioinformatician</t>
  </si>
  <si>
    <t>Analyze biological data and help ensure it is properly formatted and annotated according to (FAIR) standards.</t>
  </si>
  <si>
    <t>Ranu Sharma, Nalini Mehta</t>
  </si>
  <si>
    <t>http://purl.obolibrary.org/obo/NCIT_C165769
https://careers.slas.org/career/bioinformatics-analyst    https://www.wikidata.org/wiki/Q2904006</t>
  </si>
  <si>
    <t>Bioinformatics Specialist; Data Analyst; Bioinformatics Analyst; Bioinformatics Scientist, Informatician</t>
  </si>
  <si>
    <t>Business_Analyst,Data_Analyst,Data_Steward,Researcher</t>
  </si>
  <si>
    <t>Used at AbbVie, GSK, Roche</t>
  </si>
  <si>
    <t>Core responsibilities of a Bioinformatician:
A bioinformatician specializes in analyzing and interpreting large and complex biological data sets, such as DNA sequences, protein structures, and gene expression patterns. They develop and utilize computational tools and algorithms to make sense of this data and identify patterns and trends that can support the discovery of new drugs and therapies. Bioinformaticians also create visualizations to effectively communicate complex data findings, aiding in the understanding and presentation of results to researchers and stakeholders. They collaborate closely with biologists, medical researchers, and other scientists to design experiments and interpret results, ensuring that computational analyses are integrated effectively with biological research. Through this interdisciplinary approach, bioinformaticians contribute to advancements in personalized medicine and biotechnology, providing valuable insights into complex biological questions.</t>
  </si>
  <si>
    <t>Challenges:
Data Complexity: Handling vast and complex data sets requires accurate management and interpretation, with ongoing concerns about data quality and noise.
Technology Advancements: Keeping up with rapidly evolving computational tools, techniques, and biological discoveries necessitates continuous learning and adaptation.
Interdisciplinary Communication: Effective collaboration with professionals from biology, medicine, and computer science can be challenging, especially in translating computational findings into biological insights.
Resource Limitations: Managing computational resources such as processing power and storage is crucial, particularly when dealing with large-scale data.
Ethical Considerations: Navigating ethical and privacy concerns is key when handling sensitive biological data, especially from human subjects.
FAIR Standardization Challenges: Achieving consensus on data formats, metadata, and interoperability requires significant effort to harmonize standards across various domains, necessitating ongoing collaboration with multiple stakeholders.
Latent Gains:
Impact on Healthcare: Contributions to personalized medicine and drug discovery can revolutionize healthcare with targeted therapies and improved patient outcomes.
Innovation Potential: Bioinformaticians drive technological and biological advancements through the development of new algorithms and tools.
Career Opportunities: High demand for bioinformatics skills opens diverse paths in academia, industry, healthcare, and research institutions.
Collaborative Environment: Working in interdisciplinary teams fosters learning and innovation, helping to build broad skill sets and networks.
Contribution to Science: Bioinformaticians advance scientific knowledge, uncovering insights that can lead to groundbreaking discoveries in biological processes and diseases.</t>
  </si>
  <si>
    <t>For a bioinformatician, implementing FAIR principles offers several benefits that enhance their role and contribute to their research effectiveness:
Efficient Data Management: By ensuring that data is findable and accessible, bioinformaticians can efficiently retrieve and manage data sets, reducing time spent on data wrangling and allowing for more focus on analysis and interpretation.
Facilitated Collaboration: FAIR data practices make it easier to collaborate with colleagues within and across institutions, ensuring smooth data sharing and integration in interdisciplinary projects, which can lead to more comprehensive research findings.
Enhanced Data Reusability: With well-documented and reusable data, bioinformaticians can apply existing datasets to new research questions, maximizing the utility of data and encouraging innovation without duplicating effort.
Improved Research Transparency and Reproducibility: FAIR principles enhance the transparency and reproducibility of research by providing clear and accessible data provenance and documentation, strengthening the reliability and credibility of findings.
Access to Wider Research Networks: Implementing FAIR principles can connect bioinformaticians to a broader network of data and researchers, increasing opportunities for collaboration, resource sharing, and exposure to diverse insights and methodologies.
These benefits help bioinformaticians navigate and maximize the potential of data within their role, driving more effective research outcomes and contributing to advances in the field. {()} {[( F2, I1, R1.2 )]} – F2 supports discovery of datasets via metadata for analysis; I1 ensures bioinformatics data can integrate with other sources; R1.2 clarifies reuse conditions for derived results.</t>
  </si>
  <si>
    <t>[GN]. very specific / wait and confirm interest before implementation</t>
  </si>
  <si>
    <t>Issues: Challenges:
Data Complexity: Handling vast and complex data sets requires accurate management and interpretation, with ongoing concerns about data quality and noise.
Technology Advancements: Keeping up with rapidly evolving computational tools, techniques, and biological discoveries necessitates continuous learning and adaptation.
Interdisciplinary Communication: Effective collaboration with professionals from biology, medicine, and computer science can be challenging, especially in translating computational findings into biological insights.
Resource Limitations: Managing computational resources such as processing power and storage is crucial, particularly when dealing with large-scale data.
Ethical Considerations: Navigating ethical and privacy concerns is key when handling sensitive biological data, especially from human subjects.
FAIR Standardization Challenges: Achieving consensus on data formats, metadata, and interoperability requires significant effort to harmonize standards across various domains, necessitating ongoing collaboration with multiple stakeholders.
Latent Gains:
Impact on Healthcare: Contributions to personalized medicine and drug discovery can revolutionize healthcare with targeted therapies and improved patient outcomes.
Innovation Potential: Bioinformaticians drive technological and biological advancements through the development of new algorithms and tools.
Career Opportunities: High demand for bioinformatics skills opens diverse paths in academia, industry, healthcare, and research institutions.
Collaborative Environment: Working in interdisciplinary teams fosters learning and innovation, helping to build broad skill sets and networks.
Contribution to Science: Bioinformaticians advance scientific knowledge, uncovering insights that can lead to groundbreaking discoveries in biological processes and diseases.. Latent gains: implementing FAIR principles would reduce these challenges and unlock efficiency, compliance, and reuse.</t>
  </si>
  <si>
    <t>F2 provides metadata that improves discovery of relevant bio datasets; I1 ensures bioinformatics data can integrate with other sources; R1.2 clarifies reuse conditions for derived bioinformatic results</t>
  </si>
  <si>
    <t>z</t>
  </si>
  <si>
    <t>Deprecated-Advanced_Data_Analysis_and_Insights_Professional</t>
  </si>
  <si>
    <t>{Business-facing analyst translating data into strategic insights} Applies advanced analytics to patient and healthcare data to uncover trends and support integrated deliverables.</t>
  </si>
  <si>
    <t>khrl@novonordisk.com</t>
  </si>
  <si>
    <t>Senior Data Analyst; Real World Evidence Specialist</t>
  </si>
  <si>
    <t>Business_Analyst,Data_Scientist,Data_Steward,Researcher</t>
  </si>
  <si>
    <t>Used at Novo Nordisk</t>
  </si>
  <si>
    <t>Identifies patterns in patient data, collaborates across functions, ensures analytical rigor.</t>
  </si>
  <si>
    <t>Complexity in data harmonization and cross-functional alignment. Gains: deeper insights, robust evidence.</t>
  </si>
  <si>
    <t>FAIR data principles provide a foundation for scalable analytics and improved data traceability across complex systems. Persistent identifiers ensure metrics remain consistent, while rich metadata enables rapid assessment of data quality and relevance. Reliable access to trusted datasets supports timely insights, and seamless data integration across domains allows for holistic, cross-functional analysis. Moreover, reproducibility strengthens auditability and regulatory readiness, enhancing confidence in analytical outcomes and supporting compliant, insight-driven decision-making.</t>
  </si>
  <si>
    <t xml:space="preserve">[GN] label is too long- merge  with Data_Analysis_and_Insights_Manager 
</t>
  </si>
  <si>
    <t>Issues: Complexity in data harmonization and cross-functional alignment. Gains: deeper insights, robust evidence.. Latent gains: implementing FAIR principles would reduce these challenges and unlock efficiency, compliance, and reuse.</t>
  </si>
  <si>
    <t>F1 ensures datasets have persistent identifiers so business metrics are traceable across systems; F2 provides rich metadata that allows analysts to evaluate data quality and relevance before use; A1 guarantees stable access to trusted datasets needed for timely insights; I1 enables integration of data from multiple business domains for holistic analysis; R1.1 ensures that reported insights are reproducible, supporting auditability and stakeholder confidence.</t>
  </si>
  <si>
    <t>Deprecated-Data_Analysis_and_Insights_Manager</t>
  </si>
  <si>
    <t>{Manager aligning analytics activities to business priorities and stakeholder needs} Supports stakeholders with real-world data analytics, particularly in healthcare and clinical settings, to inform decisions and generate evidence.</t>
  </si>
  <si>
    <t>khrl@novonordisk.com AD</t>
  </si>
  <si>
    <t>Real World Data Analyst; Health Data Manager</t>
  </si>
  <si>
    <t>Advanced_Data_Analysis_and_Insights_Professional,Business_Owner,Lab_Manager,Project_Manager</t>
  </si>
  <si>
    <t>Analyzes medical claims, health records, and real-world evidence to support decisions.</t>
  </si>
  <si>
    <t>Data privacy, integration of diverse data types. Gains: better patient insights, faster evidence generation.</t>
  </si>
  <si>
    <t>Enhances data linkage, ensures compliance, supports secondary use of data.</t>
  </si>
  <si>
    <t xml:space="preserve">[GN] consolidate with Advanced_Data_Analysis_and_Insights_Professional </t>
  </si>
  <si>
    <t>Issues: Data privacy, integration of diverse data types. Gains: better patient insights, faster evidence generation.. Latent gains: implementing FAIR principles would reduce these challenges and unlock efficiency, compliance, and reuse.</t>
  </si>
  <si>
    <t>F1 ensures that the datasets used for team analyses are consistently identified, supporting alignment across projects; F2 provides rich metadata that helps managers assess data quality and relevance before assigning tasks; A1 guarantees that their teams have reliable access to the right data resources, reducing delays; I1 allows integration of datasets across domains, enabling holistic insights that meet business requirements; R1.1 assures reproducibility of reported analyses, strengthening trust in outputs delivered to stakeholders.</t>
  </si>
  <si>
    <t>z (duplicate line)</t>
  </si>
  <si>
    <t>Deprecated-Master_Data_Manager</t>
  </si>
  <si>
    <t>Role ensuring authoritative single sources of truth across the enterprise (e.g., products, customers, materials). Manages the master data in a given business domain</t>
  </si>
  <si>
    <t xml:space="preserve">Enterprise Data Manager; Data Domain Manager; Master Data Lead;  Master Data Steward; Master Data Coordinator; Reference Data Manager;  
</t>
  </si>
  <si>
    <t>Business_Owner,Data_Owner,Curator,Lab_Manager,Project_Manager</t>
  </si>
  <si>
    <t>Define and maintain enterprise master data standards; oversee creation, quality, and governance of master data domains (e.g., products, customers, materials); ensure harmonization and alignment across business units and IT systems; resolve data ownership conflicts and redundancies; collaborate with Data Stewards, Architects, and Analysts to embed FAIR principles into master data processes; monitor data quality KPIs and enforce remediation workflows; support regulatory reporting and compliance through accurate, consistent master data.</t>
  </si>
  <si>
    <t>(missing)</t>
  </si>
  <si>
    <t>[GN] combined with  Reference_Data_Manager / --- &gt; Master_data_Manager</t>
  </si>
  <si>
    <t>data from different sources can use different terminologies but is actually the same type of data.
{[Issues: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Latent gains if FAIR adopted: F1 enables persistent identifiers that define single sources of truth; F2-rich metadata supports discoverability and governance; A1 provides secure yet consistent access across systems; I1/I2 ensure interoperability between domains and applications; R1.1/R1.2 guarantee reproducible, licensed reuse of master data, reducing compliance risk and speeding reporting.]}</t>
  </si>
  <si>
    <t>name or email</t>
  </si>
  <si>
    <t>Katharina Lang (⁠KHRL)</t>
  </si>
  <si>
    <t>Nalini Mehta</t>
  </si>
  <si>
    <t>Kathleen Rand</t>
  </si>
  <si>
    <t xml:space="preserve">⁠Sharma, Ranu </t>
  </si>
  <si>
    <t>Karien Pype</t>
  </si>
  <si>
    <t xml:space="preserve">Meldal, Birgit </t>
  </si>
  <si>
    <t>Nalini Mehta</t>
  </si>
  <si>
    <t>Chris Day</t>
  </si>
  <si>
    <t>Debashree Chakrabarti</t>
  </si>
  <si>
    <t>Emiliano Reynares</t>
  </si>
  <si>
    <t>Baptiste Tauzin</t>
  </si>
  <si>
    <t>Avinash Dixit</t>
  </si>
  <si>
    <t>Ted Slater</t>
  </si>
  <si>
    <t>Philippe Rocca-Serra</t>
  </si>
  <si>
    <t>Nick Lynch</t>
  </si>
  <si>
    <t>for additions by experts</t>
  </si>
  <si>
    <t>Label</t>
  </si>
  <si>
    <t>Content_Added_by</t>
  </si>
  <si>
    <t>Notes on usage</t>
  </si>
  <si>
    <t>FAIRMM version</t>
  </si>
  <si>
    <t>Issues_latent_gains</t>
  </si>
  <si>
    <t>Potential_FAIR_benefits</t>
  </si>
  <si>
    <t>Must have/ nice to have / park for the moment</t>
  </si>
  <si>
    <t>short name of the role, text. Must-have for FAIR Maturity Matrix documentation.</t>
  </si>
  <si>
    <t>Definition of the role, text. Ideally, this is the same as a known, existing definition we can refer to publicly.  Must-have for FAIR Maturity Matrix documentation.</t>
  </si>
  <si>
    <t>URL/ URI of the text of the definition. Nice to have  for FAIR Maturity Matrix documentation.</t>
  </si>
  <si>
    <r>
      <rPr>
        <sz val="11"/>
        <color rgb="FF000000"/>
        <rFont val="Aptos Narrow"/>
      </rPr>
      <t xml:space="preserve">(Bio)informatician </t>
    </r>
    <r>
      <rPr>
        <sz val="11"/>
        <color rgb="FF215C98"/>
        <rFont val="Aptos Narrow"/>
      </rPr>
      <t>(Do we explicitly need to mention the bio part or generalise to Informatician)</t>
    </r>
  </si>
  <si>
    <t>Analyze biological data and help ensure it is properly formatted and annotated according to FAIR standards.</t>
  </si>
  <si>
    <t>http://purl.obolibrary.org/obo/NCIT_C165769
https://careers.slas.org/career/bioinformatics-analyst</t>
  </si>
  <si>
    <r>
      <rPr>
        <sz val="11"/>
        <color rgb="FF000000"/>
        <rFont val="Aptos Narrow"/>
      </rPr>
      <t xml:space="preserve">Bioinformatian, Bioinformatics Specialist, Data Analyst, Bioinformatics analyst, Bioinformatics Scientist, </t>
    </r>
    <r>
      <rPr>
        <sz val="11"/>
        <color rgb="FF215C98"/>
        <rFont val="Aptos Narrow"/>
      </rPr>
      <t>Informatician and flavours of informatician</t>
    </r>
  </si>
  <si>
    <t>Data Analyst</t>
  </si>
  <si>
    <r>
      <t>Challenges</t>
    </r>
    <r>
      <rPr>
        <sz val="11"/>
        <color rgb="FF000000"/>
        <rFont val="Aptos Narrow"/>
      </rPr>
      <t>:</t>
    </r>
    <r>
      <rPr>
        <b/>
        <sz val="11"/>
        <color rgb="FF000000"/>
        <rFont val="Aptos Narrow"/>
      </rPr>
      <t xml:space="preserve">
Data Complexity</t>
    </r>
    <r>
      <rPr>
        <sz val="11"/>
        <color rgb="FF000000"/>
        <rFont val="Aptos Narrow"/>
      </rPr>
      <t>: Handling vast and complex data sets requires accurate management and interpretation, with ongoing concerns about data quality and noise.</t>
    </r>
    <r>
      <rPr>
        <b/>
        <sz val="11"/>
        <color rgb="FF000000"/>
        <rFont val="Aptos Narrow"/>
      </rPr>
      <t xml:space="preserve">
Technology Advancements</t>
    </r>
    <r>
      <rPr>
        <sz val="11"/>
        <color rgb="FF000000"/>
        <rFont val="Aptos Narrow"/>
      </rPr>
      <t>: Keeping up with rapidly evolving computational tools, techniques, and biological discoveries necessitates continuous learning and adaptation.</t>
    </r>
    <r>
      <rPr>
        <b/>
        <sz val="11"/>
        <color rgb="FF000000"/>
        <rFont val="Aptos Narrow"/>
      </rPr>
      <t xml:space="preserve">
Interdisciplinary Communication</t>
    </r>
    <r>
      <rPr>
        <sz val="11"/>
        <color rgb="FF000000"/>
        <rFont val="Aptos Narrow"/>
      </rPr>
      <t>: Effective collaboration with professionals from biology, medicine, and computer science can be challenging, especially in translating computational findings into biological insights.</t>
    </r>
    <r>
      <rPr>
        <b/>
        <sz val="11"/>
        <color rgb="FF000000"/>
        <rFont val="Aptos Narrow"/>
      </rPr>
      <t xml:space="preserve">
Resource Limitations</t>
    </r>
    <r>
      <rPr>
        <sz val="11"/>
        <color rgb="FF000000"/>
        <rFont val="Aptos Narrow"/>
      </rPr>
      <t>: Managing computational resources such as processing power and storage is crucial, particularly when dealing with large-scale data.</t>
    </r>
    <r>
      <rPr>
        <b/>
        <sz val="11"/>
        <color rgb="FF000000"/>
        <rFont val="Aptos Narrow"/>
      </rPr>
      <t xml:space="preserve">
Ethical Considerations</t>
    </r>
    <r>
      <rPr>
        <sz val="11"/>
        <color rgb="FF000000"/>
        <rFont val="Aptos Narrow"/>
      </rPr>
      <t>: Navigating ethical and privacy concerns is key when handling sensitive biological data, especially from human subjects.</t>
    </r>
    <r>
      <rPr>
        <b/>
        <sz val="11"/>
        <color rgb="FF000000"/>
        <rFont val="Aptos Narrow"/>
      </rPr>
      <t xml:space="preserve">
FAIR Standardization Challenges</t>
    </r>
    <r>
      <rPr>
        <sz val="11"/>
        <color rgb="FF000000"/>
        <rFont val="Aptos Narrow"/>
      </rPr>
      <t>: Achieving consensus on data formats, metadata, and interoperability requires significant effort to harmonize standards across various domains, necessitating ongoing collaboration with multiple stakeholders.</t>
    </r>
    <r>
      <rPr>
        <u/>
        <sz val="11"/>
        <color rgb="FF000000"/>
        <rFont val="Aptos Narrow"/>
      </rPr>
      <t xml:space="preserve">
Latent Gains</t>
    </r>
    <r>
      <rPr>
        <sz val="11"/>
        <color rgb="FF000000"/>
        <rFont val="Aptos Narrow"/>
      </rPr>
      <t>:</t>
    </r>
    <r>
      <rPr>
        <b/>
        <sz val="11"/>
        <color rgb="FF000000"/>
        <rFont val="Aptos Narrow"/>
      </rPr>
      <t xml:space="preserve">
Impact on Healthcare</t>
    </r>
    <r>
      <rPr>
        <sz val="11"/>
        <color rgb="FF000000"/>
        <rFont val="Aptos Narrow"/>
      </rPr>
      <t>: Contributions to personalized medicine and drug discovery can revolutionize healthcare with targeted therapies and improved patient outcomes.</t>
    </r>
    <r>
      <rPr>
        <b/>
        <sz val="11"/>
        <color rgb="FF000000"/>
        <rFont val="Aptos Narrow"/>
      </rPr>
      <t xml:space="preserve">
Innovation Potential</t>
    </r>
    <r>
      <rPr>
        <sz val="11"/>
        <color rgb="FF000000"/>
        <rFont val="Aptos Narrow"/>
      </rPr>
      <t>: Bioinformaticians drive technological and biological advancements through the development of new algorithms and tools.</t>
    </r>
    <r>
      <rPr>
        <b/>
        <sz val="11"/>
        <color rgb="FF000000"/>
        <rFont val="Aptos Narrow"/>
      </rPr>
      <t xml:space="preserve">
Career Opportunities</t>
    </r>
    <r>
      <rPr>
        <sz val="11"/>
        <color rgb="FF000000"/>
        <rFont val="Aptos Narrow"/>
      </rPr>
      <t>: High demand for bioinformatics skills opens diverse paths in academia, industry, healthcare, and research institutions.</t>
    </r>
    <r>
      <rPr>
        <b/>
        <sz val="11"/>
        <color rgb="FF000000"/>
        <rFont val="Aptos Narrow"/>
      </rPr>
      <t xml:space="preserve">
Collaborative Environment</t>
    </r>
    <r>
      <rPr>
        <sz val="11"/>
        <color rgb="FF000000"/>
        <rFont val="Aptos Narrow"/>
      </rPr>
      <t>: Working in interdisciplinary teams fosters learning and innovation, helping to build broad skill sets and networks.</t>
    </r>
    <r>
      <rPr>
        <b/>
        <sz val="11"/>
        <color rgb="FF000000"/>
        <rFont val="Aptos Narrow"/>
      </rPr>
      <t xml:space="preserve">
Contribution to Science</t>
    </r>
    <r>
      <rPr>
        <sz val="11"/>
        <color rgb="FF000000"/>
        <rFont val="Aptos Narrow"/>
      </rPr>
      <t>: Bioinformaticians advance scientific knowledge, uncovering insights that can lead to groundbreaking discoveries in biological processes and diseases.</t>
    </r>
  </si>
  <si>
    <r>
      <t>For a bioinformatician, implementing FAIR principles offers several benefits that enhance their role and contribute to their research effectiveness:</t>
    </r>
    <r>
      <rPr>
        <b/>
        <sz val="11"/>
        <color rgb="FF000000"/>
        <rFont val="Aptos Narrow"/>
      </rPr>
      <t xml:space="preserve">
Efficient Data Management</t>
    </r>
    <r>
      <rPr>
        <sz val="11"/>
        <color rgb="FF000000"/>
        <rFont val="Aptos Narrow"/>
      </rPr>
      <t>: By ensuring that data is findable and accessible, bioinformaticians can efficiently retrieve and manage data sets, reducing time spent on data wrangling and allowing for more focus on analysis and interpretation.</t>
    </r>
    <r>
      <rPr>
        <b/>
        <sz val="11"/>
        <color rgb="FF000000"/>
        <rFont val="Aptos Narrow"/>
      </rPr>
      <t xml:space="preserve">
Facilitated Collaboration</t>
    </r>
    <r>
      <rPr>
        <sz val="11"/>
        <color rgb="FF000000"/>
        <rFont val="Aptos Narrow"/>
      </rPr>
      <t>: FAIR data practices make it easier to collaborate with colleagues within and across institutions, ensuring smooth data sharing and integration in interdisciplinary projects, which can lead to more comprehensive research findings.</t>
    </r>
    <r>
      <rPr>
        <b/>
        <sz val="11"/>
        <color rgb="FF000000"/>
        <rFont val="Aptos Narrow"/>
      </rPr>
      <t xml:space="preserve">
Enhanced Data Reusability</t>
    </r>
    <r>
      <rPr>
        <sz val="11"/>
        <color rgb="FF000000"/>
        <rFont val="Aptos Narrow"/>
      </rPr>
      <t>: With well-documented and reusable data, bioinformaticians can apply existing datasets to new research questions, maximizing the utility of data and encouraging innovation without duplicating effort.</t>
    </r>
    <r>
      <rPr>
        <b/>
        <sz val="11"/>
        <color rgb="FF000000"/>
        <rFont val="Aptos Narrow"/>
      </rPr>
      <t xml:space="preserve">
Improved Research Transparency and Reproducibility</t>
    </r>
    <r>
      <rPr>
        <sz val="11"/>
        <color rgb="FF000000"/>
        <rFont val="Aptos Narrow"/>
      </rPr>
      <t>: FAIR principles enhance the transparency and reproducibility of research by providing clear and accessible data provenance and documentation, strengthening the reliability and credibility of findings.</t>
    </r>
    <r>
      <rPr>
        <b/>
        <sz val="11"/>
        <color rgb="FF000000"/>
        <rFont val="Aptos Narrow"/>
      </rPr>
      <t xml:space="preserve">
Access to Wider Research Networks</t>
    </r>
    <r>
      <rPr>
        <sz val="11"/>
        <color rgb="FF000000"/>
        <rFont val="Aptos Narrow"/>
      </rPr>
      <t>: Implementing FAIR principles can connect bioinformaticians to a broader network of data and researchers, increasing opportunities for collaboration, resource sharing, and exposure to diverse insights and methodologies.
These benefits help bioinformaticians navigate and maximize the potential of data within their role, driving more effective research outcomes and contributing to advances in the field.</t>
    </r>
  </si>
  <si>
    <t>(FAIR) Data Architect (proposal : keep / combine with FAIR architect)</t>
  </si>
  <si>
    <r>
      <t xml:space="preserve">A role in an organization focusing on processes, models and </t>
    </r>
    <r>
      <rPr>
        <strike/>
        <sz val="11"/>
        <color rgb="FF000000"/>
        <rFont val="Aptos Narrow"/>
      </rPr>
      <t>frameworks</t>
    </r>
    <r>
      <rPr>
        <sz val="11"/>
        <color rgb="FF000000"/>
        <rFont val="Aptos Narrow"/>
      </rPr>
      <t xml:space="preserve">/policies that manages the generation, use and governance of data, metadata  and data standards in </t>
    </r>
    <r>
      <rPr>
        <strike/>
        <sz val="11"/>
        <color rgb="FF000000"/>
        <rFont val="Aptos Narrow"/>
      </rPr>
      <t>the most optimal form</t>
    </r>
    <r>
      <rPr>
        <sz val="11"/>
        <color rgb="FF000000"/>
        <rFont val="Aptos Narrow"/>
      </rPr>
      <t>/a FAIR compliant manner. Develops processes to deliver and maintain FAIR data and services</t>
    </r>
  </si>
  <si>
    <t>FAIR architect</t>
  </si>
  <si>
    <t>Data Engineers, Clinical Data Managers, (FAIR) Community Manager, C-level tech leaders</t>
  </si>
  <si>
    <t>[GN] A FAIR Architect in a large pharmaceutical organization is responsible for designing and maintaining the enterprise data architecture with a focus on FAIR compliance. This includes defining data models, metadata schemas, ontologies, and standards that ensure all organizational data is findable, accessible, interoperable, and reusable. They develop governance policies, workflows, and pipelines to deliver FAIR data and services, often coordinating with Data Engineers, Clinical Data Managers, and FAIR Community Managers. Their work includes evaluating and implementing data platforms, standardizing data formats, establishing data lineage and provenance frameworks, and ensuring regulatory compliance while enabling cross-functional analytics, AI, and machine learning initiatives.</t>
  </si>
  <si>
    <t>[GN] 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t>
  </si>
  <si>
    <t>[GN]  ,  FAIR-aligned data facilitates the work of the data architect in the long run  . Standardized metadata, ontologies, and governance frameworks reduce errors, streamline integration, and improve collaboration across departments.. Data is consistently structured, discoverable, and of controllable quality across multiple sources, making it easier for teams to access and leverage information for analytics, regulatory submissions, and research.  By establishing clear data lineage, provenance, and documentation, FAIR practices enhance transparency and trust in data, support reproducibility, and enable efficient reuse for future projects. Ultimately, FAIR adoption allows the FAIR Architect to optimize data workflows, minimize duplication of effort, and create a scalable, sustainable data infrastructure that drives better decision-making across the organization.
• Findable (F1–F4): Consistent metadata and identifiers make datasets easy to locate and track across the enterprise.
• Accessible (A1–A2): Defined access protocols and persistence policies ensure authorized users can reliably retrieve datasets and metadata.
• Interoperable (I1–I3): Standardized ontologies, controlled vocabularies, and formats enable seamless integration of heterogeneous datasets across departments and systems.
• Reusable (R1–R1.3): Clear provenance, licensing, and quality standards allow data to be reused for regulatory submissions, secondary research, and AI/ML applications, reducing duplication and enhancing data value.</t>
  </si>
  <si>
    <t>keep / combine with FAIR architect</t>
  </si>
  <si>
    <t>(FAIR) Trainer</t>
  </si>
  <si>
    <t>Trainers design and deliver training programs to a variety of stakeholders ranging from researchers to business leaders and project teams across organisation functions (R&amp;ED, but also development, clinical, franchises), with a focus on awareness and best practice implementation of FAIR data principles. The role supports compliance with corporate data governance policies, regulatory expectations, and scientific needs. It interfaces and interacts woth</t>
  </si>
  <si>
    <t>Researcher, Data Analyst, Citized Data Scientists, Know</t>
  </si>
  <si>
    <t>Collaborate with data governance leads, technology leads, data architects, community managers and researcher teams to identify training needs aligned with corporate strategy; design tailored, role-specific training schedules; create high-quality, compliant, and FAIR-aligned learning materials (presentations, manuals, e-learning modules, job aids); deliver  in-person, virtual, and hybrid sessions combining policy awareness with hands-on skills; promote company-approved and community recommended  tools, standards, and workflows; adapt delivery for varied therapeutic areas, modalities, and stages of development (R&amp;D, etc); establish continuous improvement processes through structured feedback and impact measurement. Keep track of FAIR training offering outside of the organisation.</t>
  </si>
  <si>
    <t>Benefit from success stories to articulate the "why" of the training.
Ability to re-use FAIR training materials.  Ability to use  open standards,   showcase examples from FAIR implementation journeys and FAIR implementation profiles.
Benefit from clearer metrics and frameworks to assess FAIR data sets (FAIR indicators) and organisations. (FAIR MM).
Higher impact of training due to availability of FAIR compliant data and examples of implementation.</t>
  </si>
  <si>
    <t xml:space="preserve">Benefit from success stories to articulate the "why" of the training.
Ability to re-use FAIR training materials.  Ability to use  open standards,   showcase examples from FAIR implementation journeys and FAIR implementation profiles.
Benefit from clearer metrics and frameworks to assess FAIR data sets (FAIR indicators) and organisations. (FAIR MM).
Higher impact of training due to availability of FAIR compliant data and examples of implementation.
</t>
  </si>
  <si>
    <t>{FAIR} Community Manager (proposal/ keep merge with "Community of Practice Organiser")</t>
  </si>
  <si>
    <t>Community of Practice Organiser</t>
  </si>
  <si>
    <t xml:space="preserve"> data stewards, clinical data managers, researchers, subject matter experts</t>
  </si>
  <si>
    <t>[GN] A (FAIR) Community Manager in pharma is responsible for building and nurturing a community of practice (CoP) around FAIR data principles, standards, and best practices. Their  activities include organizing workshops, webinars, and discussion forums; coordinating cross-functional meetings with data stewards, clinical data managers, scientists, and IT teams; and maintaining communication channels such as mailing lists, Slack/Teams channels, or internal portals. They curate and disseminate knowledge, including FAIR guidelines, metadata standards, and interoperability frameworks. Additionally, they track emerging trends in data management and FAIR adoption, and actively recruit new members to ensure the community reflects diverse roles and perspectives within the organization.</t>
  </si>
  <si>
    <t>[GN] 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t>
  </si>
  <si>
    <t>[GN] the 15 F AIR data principles as well as other public artefacts provide the FAIR Community Manager with a shared framework and language for engagement across the organization.  By sharing "success stories" of FAIR data practices, they can demonstrate value for community members, such as easier access to datasets, reduced duplication of effort, and improved cross-study analytics. FAIR-aligned processes enable more consistent documentation, metadata capture, and provenance tracking, which the community can showcase as concrete successes. Ultimately, FAIR data empowers the manager to strengthen collaboration, accelerate learning, and drive a culture of continuous improvement and innovation in data management practices across the company.
• Findable (F1–F4): FAIR principles give the community a shared language and standards for cataloguing and indexing datasets, making it easier to discover relevant information and resources for members across departments.
• Accessible (A1–A2): FAIR-aligned systems and clear access protocols ensure that knowledge and datasets can be shared across teams, regions, and functions while respecting data governance and security policies.
• Interoperable (I1–I3): Using standardized metadata, controlled vocabularies, and ontologies facilitates collaboration across diverse teams and tools. This enables members to combine datasets and insights effectively, even when sourced from different platforms or departments.
• Reusable (R1–R1.3): By promoting consistent documentation, provenance tracking, and clear usage licenses, the community ensures that datasets and shared best practices can be reliably reused for analytics, regulatory work, training, and innovation initiatives. This strengthens engagement and demonstrates tangible value to the organization.</t>
  </si>
  <si>
    <t>Keep in FAIR MM version &gt; 1</t>
  </si>
  <si>
    <t>Advanced Data Analysis &amp; Insights Professional</t>
  </si>
  <si>
    <t>Applies advanced analytics to patient and healthcare data to uncover trends and support integrated deliverables.</t>
  </si>
  <si>
    <t>Senior Data Analyst, Real World Evidence Specialist</t>
  </si>
  <si>
    <t>Data Scientist</t>
  </si>
  <si>
    <t>Scalable analytics, improved data traceability, supports regulatory submissions.</t>
  </si>
  <si>
    <t>Business Analyst</t>
  </si>
  <si>
    <t>A role in organisation in implementing FAIR principles by acting as the bridge between scientific, technical, and business stakeholders. They identify gaps in data accessibility and interoperability, gather requirements, and help define a roadmap for FAIR adoption.</t>
  </si>
  <si>
    <t>Avinash Dixit, Debashree Chakrabarti</t>
  </si>
  <si>
    <t>Data Modeller, Business System Consultant (BSC), Business Relationship Manager (BRM)
Data Analyst</t>
  </si>
  <si>
    <t>IT system owner (ITSO),  Business Owner</t>
  </si>
  <si>
    <t xml:space="preserve">Responsible for tech stack upkeep for a team/lab/therapeutic area. E.g. Architecture and Data workflow, Inventory of software/hardware/infrastructure applications, purchasing and maintenance, identifying gaps / end of life processes and updating with new technology </t>
  </si>
  <si>
    <t>Avoid redundancy, vendor locking and management of systems proactively. Manage petabytes of data efficiently using ontologies and archive policies.</t>
  </si>
  <si>
    <r>
      <t>Business Leader</t>
    </r>
    <r>
      <rPr>
        <sz val="11"/>
        <color rgb="FF000000"/>
        <rFont val="Aptos Narrow"/>
        <family val="2"/>
      </rPr>
      <t xml:space="preserve"> - Chief Executive Officer (CEO), Chief Operating Officer, Chief Financial Officer (CFO), Functional Line Leader - Head of R&amp;D, Head of Manufacturing, Supply Chain, CMC, etc.</t>
    </r>
  </si>
  <si>
    <t>giovanni.nisato / Karien Pype</t>
  </si>
  <si>
    <t>CEO, COO, CFO, President, etc.</t>
  </si>
  <si>
    <t>CIO, COO, CDO, Business Analysts</t>
  </si>
  <si>
    <t>Making data-driven strategic decisions, performance and KPI management, engaging with investors and stakeholders with reliable data, enabling digital and data transformation, managing risk and compliance, supporting M&amp;A, licensing, and due diligence</t>
  </si>
  <si>
    <t>Strategic benefits: faster time to market of therapies/drugs thanks to iImproved data discoverability, reusability accelerate research cycles, and easier identification of drug targets, biomarkers, and clinical trial insights.</t>
  </si>
  <si>
    <t>Business Owner</t>
  </si>
  <si>
    <t>designated individual responsible for the business value, requirements, and success of a process, product, system, or dataset.</t>
  </si>
  <si>
    <t>Kathleen Rand ,  Chris Day</t>
  </si>
  <si>
    <t>Business Data Owner (BDO)
Data Asset Owner
Business Executive &amp; Manager</t>
  </si>
  <si>
    <t>Data Owner
Product Owner
Metadata Specialist
Business Process Lead
Data Warehouse Architect
Data Management Professionals
Other IT Professionals
Information Architects
Subject Matter Experts
Data Stewardship Council</t>
  </si>
  <si>
    <t>Responsible for understanding the FAIR needs.</t>
  </si>
  <si>
    <t>A Business Owner can derive tangible and strategic benefits from FAIR data principles when aligned with business goals. These benefits span operational efficiency, regulatory compliance, innovation enablement, and risk reduction. Below is a breakdown of the core business benefits a Business Owner could realise from the adoption of FAIR principles, framed in alignment with DAMA-DMBOK functions.
1. Improved Decision-Making and Time-to-Insight
FAIR Value: Findable and Accessible data enables faster retrieval and reduces effort spent on locating, reconciling, or verifying data.
Business Impact: Quicker evidence-based decisions; faster time-to-market; improved responsiveness to customers and regulators.
🧠 “Less time finding data, more time using it.”
2. Higher Trust and Data Quality
FAIR Value: Provenance and metadata increase trust in data authenticity and lineage.
Business Impact: Reduces operational errors and misinformed decisions; supports data-dependent processes like forecasting, modelling, and reporting.
📉 Reduction in data rework, reconciliation, and audit failures.
3. Cross-Functional Interoperability and Collaboration
FAIR Value: Interoperable data supports reuse across domains, tools, and teams.
Business Impact: Enables integrated reporting, joined-up customer views, and cross-functional analytics. Supports M&amp;A and organisational restructuring with minimal friction.
4. Regulatory Compliance and Reduced Risk
FAIR Value: Reusable data with clear usage rights and provenance eases compliance with data regulations (e.g. GDPR, ISO 20022, FDA).
Business Impact: Reduces risk of fines, audit failures, and non-compliance. Enables proactive reporting and transparency.
5. Increased Data Reusability = Lower Cost of Data
FAIR Value: Standard formats, metadata, and semantic clarity reduce data duplication and enhance reuse.
Business Impact: Cuts down on procurement of redundant data, manual reconciliation, and bespoke pipelines.
6. Enablement of AI, Automation, and Innovation
FAIR Value: Machine-actionable metadata and standard ontologies support automated discovery and intelligent processing.
Business Impact: Accelerates AI/ML initiatives, digital twins, semantic search, and knowledge graph adoption.
7. Transparency and Traceability
FAIR Value: Clear data lineage enables auditability and transparency of data transformations.
Business Impact: Improves stakeholder confidence (e.g. investors, regulators) and facilitates sustainable ESG reporting.
8. Strategic Data Asset Stewardship
FAIR Value: Recognises data as a long-term, lifecycle-managed asset.
Business Impact: Supports enterprise valuation, improves M&amp;A readiness, and facilitates long-term business resilience.</t>
  </si>
  <si>
    <t>C level leader - PROPOSAL is to break this "C-level Leader" role into two groupsing - Business Leader and Technology Leader (see below).</t>
  </si>
  <si>
    <t>In an organization, personnel holding roles such as CEO, CFO, CTO, COO with executive and strategy level decision- making capacities.</t>
  </si>
  <si>
    <t>Executive, C-Suite Executive</t>
  </si>
  <si>
    <t>CEO, CIO, COO, CDO</t>
  </si>
  <si>
    <t>{nice to have/ to complete} - use summary from CEO, CIO etc</t>
  </si>
  <si>
    <t>Chief data officer (proposal: remove / combine "C" roles)</t>
  </si>
  <si>
    <t>Responsible for developing and implementing an organization's data strategy, ensuring data quality, security, and compliance, while driving innovation through data analytics.support business goals.</t>
  </si>
  <si>
    <t>Ranu Sharma</t>
  </si>
  <si>
    <t>Data officer</t>
  </si>
  <si>
    <t>See: Technology Leader - Chief Information Officer (CIO), Chief Digital Officer (CDO), Chief Data Officer (CDO), Chief AI Officer (CAIO)</t>
  </si>
  <si>
    <t>leads the strategic implementation of FAIR data principles by defining organizational data governance policies that prioritize findability, accessibility, interoperability, and reusability. They oversee data management practices, ensuring alignment with regulatory requirements and fostering a data-driven culture that supports innovation and collaboration.</t>
  </si>
  <si>
    <t>Chief digital officer (CDO) - Proposal - Combine with CIO role under "Technology Leader" (role in next row down)</t>
  </si>
  <si>
    <t xml:space="preserve">Drives digital transformations in a company or an organization. For example by  converting traditional "analog" businesses to ones relying on digital workflows and infrastructure. The CDO is responsible for whole process of digital transformation. </t>
  </si>
  <si>
    <t>https://en.wikipedia.org/wiki/Chief_digital_officer</t>
  </si>
  <si>
    <t>NB: this may be merged with CIO.</t>
  </si>
  <si>
    <t>CIO</t>
  </si>
  <si>
    <t>Provides expertise in Digital transformation, general management,  business analysis, adoption of digital technologies and workflows across functions. Reports to the executive teams and / or the board of directors.</t>
  </si>
  <si>
    <t>Citizen data scientist</t>
  </si>
  <si>
    <t>Individual within an organization who, despite lacking formal training in data science, utilizes data analysis tools and techniques to extract insights from data. These individuals often come from various backgrounds, such as business, marketing, or operations, and possess domain-specific expertise. Citizen Data Scientists leverage self-service analytics platforms, intuitive data visualization tools, and automated machine learning algorithms to explore datasets, generate reports, and uncover patterns or trends relevant to their roles.</t>
  </si>
  <si>
    <t>CDS</t>
  </si>
  <si>
    <t>Senior Associate, Legal</t>
  </si>
  <si>
    <t>Explores and visualize data, combines and clean data in collaboration with data teams, build dashboards, applies automated machine learning, and interpretes results to support business decisions— all using self-service tools without needing to code.</t>
  </si>
  <si>
    <t>Enables integration of multiple datasets (e.g., marketing + operations) without needing deep technical skills. Encourages experimentation, reproducibility, and sharing of insights across teams</t>
  </si>
  <si>
    <t>Clinical Data Manager (CDM)</t>
  </si>
  <si>
    <t>Involved in the collection, integration, and validation of clinical trial data, they ensure that such data adheres to FAIR principles for subsequent research and regulatory submissions</t>
  </si>
  <si>
    <t>https://ccrps.org/clinical-research-blog/what-is-a-clinical-data-manager</t>
  </si>
  <si>
    <t>Clinical Database Manager (by Ranu Sharma)</t>
  </si>
  <si>
    <t>Data manager
Data Quality Manager</t>
  </si>
  <si>
    <t>[GN]  Clinical Data Manager (CDM) plays a central role in ensuring that clinical trial data is complete, accurate, and compliant with global regulatory standards. Their  responsibilities include designing and managing case report forms (CRFs), overseeing electronic data capture (EDC) systems, validating incoming data from multiple sites,  transforming raw data into standardized submission formats such as CDISC SDTM and ADaM. They coordinate  with biostatisticians, clinical operations, medical writers, and regulatory teams to ensure data consistency, timeliness, and readiness for regulatory submissions across complex, multi-country studies. CDMs also monitor data integrity, manage queries and discrepancies, and document all processes to maintain an auditable trail.</t>
  </si>
  <si>
    <t>[GN] face substantial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t>
  </si>
  <si>
    <t>ensures the implementation of FAIR data principles by establishing and maintaining data governance, quality assurance, and metadata management practices. They collaborate with IT and data specialists to support technical infrastructure and provide training to promote compliance and effective data use.
[GN] FAIR principles can significantly improve the efficiency and reliability of a Clinical Data Manager’s work in large pharma. By ensuring that data and metadata are findable, accessible, interoperable, and reusable, CDMs can automate and accelerate data integration and cleaning processes. Standardized vocabularies and ontologies facilitate cross-study comparisons and reduce mapping errors, while rich provenance tracking enhances audit readiness and regulatory confidence. FAIR data also enables better reuse of clinical trial datasets for secondary research, machine learning, and meta-analyses, ultimately supporting faster decision-making, reducing redundancy, and increasing the value derived from every clinical trial.
• Findable (F1–F4): Standardized metadata and dataset identifiers make clinical trial data easier to locate across studies, sites, and systems. This ensures that data can be efficiently discovered for ongoing trials, regulatory submissions, or secondary research.
• Accessible (A1–A2): Using controlled access protocols ensures that authorized team members can retrieve data reliably, while maintaining audit trails and compliance with privacy regulations (GDPR, HIPAA). Metadata remains accessible even if the underlying data is restricted, supporting transparency and planning.
• Interoperable (I1–I3): Adoption of CDISC standards, controlled vocabularies (MedDRA, SNOMED CT), and ontologies (PGO) enables seamless integration of heterogeneous clinical datasets. This reduces mapping errors and allows cross-study comparisons and multi-study analyses.
• Reusable (R1–R1.3): Well-documented provenance, data quality metrics, and usage licenses make datasets suitable for regulatory submissions, meta-analyses, and machine learning applications. This increases the long-term value of clinical data and supports reproducibility.</t>
  </si>
  <si>
    <t>Community of Practice Organiser ( proposal: remove, keep as synonym for Community Manager)</t>
  </si>
  <si>
    <t>An individual or group responsible for facilitating and managing a community of practice (CoP). The organizer’s role involves coordinating meetings, events, and activities for the community, creating channels for communication and knowledge sharing, and fostering a supportive and inclusive environment where members feel comfortable exchanging ideas and experiences. They may also be involved in recruiting new members, setting goals and objectives for the community, and ensuring that it remains vibrant and relevant to its members’ needs and interests.</t>
  </si>
  <si>
    <t>Community Manager</t>
  </si>
  <si>
    <t>{ to complete}</t>
  </si>
  <si>
    <t>[GN] see "Community Manager"</t>
  </si>
  <si>
    <t>merge with "Community Manager"</t>
  </si>
  <si>
    <r>
      <t xml:space="preserve">Organizes, </t>
    </r>
    <r>
      <rPr>
        <i/>
        <sz val="11"/>
        <color rgb="FF000000"/>
        <rFont val="Aptos Narrow"/>
      </rPr>
      <t>standardises</t>
    </r>
    <r>
      <rPr>
        <sz val="11"/>
        <color rgb="FF000000"/>
        <rFont val="Aptos Narrow"/>
      </rPr>
      <t xml:space="preserve">, integrates, and maintains ontologies, vocabularies, datasets </t>
    </r>
    <r>
      <rPr>
        <i/>
        <sz val="11"/>
        <color rgb="FF000000"/>
        <rFont val="Aptos Narrow"/>
      </rPr>
      <t>and data products</t>
    </r>
    <r>
      <rPr>
        <sz val="11"/>
        <color rgb="FF000000"/>
        <rFont val="Aptos Narrow"/>
      </rPr>
      <t xml:space="preserve"> to ensure they are </t>
    </r>
    <r>
      <rPr>
        <i/>
        <sz val="11"/>
        <color rgb="FF000000"/>
        <rFont val="Aptos Narrow"/>
      </rPr>
      <t>FAIR</t>
    </r>
    <r>
      <rPr>
        <sz val="11"/>
        <color rgb="FF000000"/>
        <rFont val="Aptos Narrow"/>
      </rPr>
      <t xml:space="preserve"> and aligned with governance standards.</t>
    </r>
  </si>
  <si>
    <t xml:space="preserve">Copilot and Birgit http://credit.niso.org/contributor-roles/data-curation/(by Ranu)
</t>
  </si>
  <si>
    <t>Biocurator</t>
  </si>
  <si>
    <t>Data steward, data governance expert, Ontologist</t>
  </si>
  <si>
    <t>Data aligned or based on domain/global standards greatly facilitate the work.</t>
  </si>
  <si>
    <t>Data Analysis &amp; Insights Manager (can this be merged with Advanced Data Analysis &amp; Insights Professional)</t>
  </si>
  <si>
    <t>Supports stakeholders with real-world data analytics, particularly in healthcare and clinical settings, to inform decisions and generate evidence.</t>
  </si>
  <si>
    <t>RWD Analyst, Health Data Manager</t>
  </si>
  <si>
    <t>Advanced Data Analyst</t>
  </si>
  <si>
    <r>
      <rPr>
        <sz val="11"/>
        <color rgb="FF000000"/>
        <rFont val="Aptos Narrow"/>
      </rPr>
      <t>Data Analyst {</t>
    </r>
    <r>
      <rPr>
        <sz val="11"/>
        <color rgb="FF215C98"/>
        <rFont val="Aptos Narrow"/>
      </rPr>
      <t>consider: to Merge with Data Scientist?}</t>
    </r>
  </si>
  <si>
    <t>Integrate FAIR data into analytical models and pipelines, ensuring the data is both usable and valuable for insights and decision-making.</t>
  </si>
  <si>
    <t>Data Integration Specialist, Data Owner</t>
  </si>
  <si>
    <t>Locates appropriate data from various sources; ensures proper insertion of data into relevant workflows, pipelines, and models; ensures that workflow outputs are appropriate and made available to downstream consumers</t>
  </si>
  <si>
    <t>Supports FAIR data implementation by ensuring data is consistently documented with comprehensive metadata to enhance findability and reusability. They also facilitate data integration and interoperability by adhering to standardized data formats and collaborating with other teams to optimize data accessibility.</t>
  </si>
  <si>
    <t>Data Engineer. (proposal: keep /  merge with Data Integration Specialist</t>
  </si>
  <si>
    <t>technology professional who designs, builds, maintains, and optimizes systems for collecting, storing, and analyzing large-scale data. Their primary responsibility is to ensure that data is accessible, reliable, and clean for analytical or operational use.</t>
  </si>
  <si>
    <t>Kathleen Rand/ Giovanni Nisato</t>
  </si>
  <si>
    <t>Data Integration Specialist, Research Software Engineer.</t>
  </si>
  <si>
    <t>Data Owner, Data Standards and Governance Expert, Data Data Steward, Data Scientist, Researcher, Clinical Data Manager</t>
  </si>
  <si>
    <t>designs, builds, maintains, and optimizes systems for collecting, storing, and analyzing large-scale data. Their primary responsibility is to ensure that data is accessible, reliable, and clean for analytical or operational use.
[GN] A Data Engineer in a large pharmaceutical company is responsible for designing, building, and maintaining the infrastructure that enables large-scale data collection, storage, and analysis. Their day-to-day work includes developing ETL (extract-transform-load) pipelines, integrating data from diverse sources such as EDC systems, laboratory information management systems (LIMS), imaging platforms, and real-world evidence datasets. They implement data models, manage cloud or on-premise databases, optimize query performance, and ensure that pipelines are scalable and reliable. Data Engineers also collaborate closely with Data Scientists, Clinical Data Managers, and IT teams to ensure that datasets are structured, clean, and ready for analytics or regulatory submission.</t>
  </si>
  <si>
    <t>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t>
  </si>
  <si>
    <t>[GN] FAIR principles bring  benefits to Data Engineers by providing standardized approaches for data interoperability, discoverability, and reuse. By adopting FAIR-aligned metadata, ontologies, and standardized formats, Data Engineers can streamline data integration and reduce manual mapping efforts. Improved data provenance and accessibility facilitate collaboration across teams and accelerate analytics, machine learning, and regulatory reporting. FAIR practices also support automation of data pipelines, improve reproducibility, and reduce operational risk, enabling Data Engineers to focus more on innovation and optimization rather than time-consuming data wrangling.
* Findable (F1–F4): By applying standardized metadata and persistent identifiers, data becomes easier to locate and retrieve across multiple systems. This reduces time spent searching for datasets and ensures that all relevant data can be discovered for analytics or regulatory needs.
• Accessible (A1–A2): Implementing well-defined access protocols and ensuring that metadata remains accessible even if the data itself is restricted allows teams to retrieve the data they need efficiently, while maintaining compliance with governance and privacy requirements.
• Interoperable (I1–I3): Using controlled vocabularies, ontologies, and standardized data formats enables seamless integration of heterogeneous datasets from EDCs, LIMS, imaging, and real-world evidence systems. This improves cross-team collaboration and reduces errors caused by inconsistent data formats.
• Reusable (R1–R1.3): Clear documentation of data provenance, usage licenses, and quality metrics ensures that datasets can be reused for secondary analysis, machine learning, or regulatory reporting. This enhances reproducibility, reduces redundant effort, and supports long-term operational efficiency.</t>
  </si>
  <si>
    <t>keep /  merge with Data Integration Specialist</t>
  </si>
  <si>
    <t>Data Integration Specialist (proposal: remove , and add as synonym for Data Engineer / )</t>
  </si>
  <si>
    <r>
      <t>Focus on integrating diverse data sources in a manner that supports interoperability and reusability, key components of FAIR data</t>
    </r>
    <r>
      <rPr>
        <sz val="11"/>
        <color rgb="FFFF0000"/>
        <rFont val="Aptos Narrow"/>
      </rPr>
      <t xml:space="preserve">
Skill set comprises more towards understanding the meta data and context of the information as opposed to software / hardware technical expertise like integration of different AWS storage or movement of large volumes of files across (something that is a Data Engineer role)</t>
    </r>
  </si>
  <si>
    <t>Ranu Sharma / Debashree Chakrabarti</t>
  </si>
  <si>
    <t>Data Engineer</t>
  </si>
  <si>
    <t>Workflow developer { needs to refer to a persona or synonym in this table }</t>
  </si>
  <si>
    <t>1. Identify primary key (commonalities) &amp; differences between different sources of data
2. Identify the workflow and must have / nice to have data points
3. Work with data engineers, software developers to identify an existing or  create a new platform for unified information</t>
  </si>
  <si>
    <t xml:space="preserve">Missing data standards or different practices while handling the same type of data make workflow integrations complex. </t>
  </si>
  <si>
    <t>ensures FAIR data implementation by developing and maintaining systems that enable seamless data interoperability and integration across different platforms. They ensure data is accessible and compatible by utilizing standardized protocols and formats, promoting efficient data sharing and reuse.</t>
  </si>
  <si>
    <t>to be integrated with data engineer, add as synonym for Data Engineer ( then remove  from list</t>
  </si>
  <si>
    <t>Data Owner</t>
  </si>
  <si>
    <t>accountable for the data within a specific domain or dataset. This includes the quality, integrity, access control, compliance (to standards and FAIR) and usage policies of the data.</t>
  </si>
  <si>
    <t>Business Data Owner (BDO)
Data Asset Owner, Data Manager</t>
  </si>
  <si>
    <t>Data Steward</t>
  </si>
  <si>
    <r>
      <t>Persona and Responsibilities of a Data Owner
A Data Owner is responsible for overseeing and managing data within a specific domain or set of data in an organization. This role involves strategic authority and accountability, aligning data management practices with business needs and objectives. The Data Owner has the authority to make critical decisions regarding business term definitions, data policies, data quality, accessibility, and retention, ensuring these align with organizational goals.</t>
    </r>
    <r>
      <rPr>
        <u/>
        <sz val="11"/>
        <color rgb="FF000000"/>
        <rFont val="Aptos Narrow"/>
      </rPr>
      <t xml:space="preserve">
Key Responsibilities</t>
    </r>
    <r>
      <rPr>
        <sz val="11"/>
        <color rgb="FF000000"/>
        <rFont val="Aptos Narrow"/>
      </rPr>
      <t>:</t>
    </r>
    <r>
      <rPr>
        <b/>
        <sz val="11"/>
        <color rgb="FF000000"/>
        <rFont val="Aptos Narrow"/>
      </rPr>
      <t xml:space="preserve">
Development of Policies and Protocols</t>
    </r>
    <r>
      <rPr>
        <sz val="11"/>
        <color rgb="FF000000"/>
        <rFont val="Aptos Narrow"/>
      </rPr>
      <t>: Crafting and implementing policies, protocols, and guidelines related to the information asset, process, and system to ensure data governance adherence.</t>
    </r>
    <r>
      <rPr>
        <b/>
        <sz val="11"/>
        <color rgb="FF000000"/>
        <rFont val="Aptos Narrow"/>
      </rPr>
      <t xml:space="preserve">
Approval and Classification</t>
    </r>
    <r>
      <rPr>
        <sz val="11"/>
        <color rgb="FF000000"/>
        <rFont val="Aptos Narrow"/>
      </rPr>
      <t>: Approving the classification of information assets to maintain data integrity and ensure it meets business requirements.</t>
    </r>
    <r>
      <rPr>
        <b/>
        <sz val="11"/>
        <color rgb="FF000000"/>
        <rFont val="Aptos Narrow"/>
      </rPr>
      <t xml:space="preserve">
Security and Risk Management</t>
    </r>
    <r>
      <rPr>
        <sz val="11"/>
        <color rgb="FF000000"/>
        <rFont val="Aptos Narrow"/>
      </rPr>
      <t>: Implementing relevant security controls to adequately protect data collections while assessing and mitigating risks associated with data breaches or misuse.</t>
    </r>
    <r>
      <rPr>
        <b/>
        <sz val="11"/>
        <color rgb="FF000000"/>
        <rFont val="Aptos Narrow"/>
      </rPr>
      <t xml:space="preserve">
Change Management</t>
    </r>
    <r>
      <rPr>
        <sz val="11"/>
        <color rgb="FF000000"/>
        <rFont val="Aptos Narrow"/>
      </rPr>
      <t>: Approving significant changes to data collection, processes, or systems, and managing the impact of these changes on stakeholders, ensuring smooth transitions.</t>
    </r>
    <r>
      <rPr>
        <b/>
        <sz val="11"/>
        <color rgb="FF000000"/>
        <rFont val="Aptos Narrow"/>
      </rPr>
      <t xml:space="preserve">
Delegation and Collaboration</t>
    </r>
    <r>
      <rPr>
        <sz val="11"/>
        <color rgb="FF000000"/>
        <rFont val="Aptos Narrow"/>
      </rPr>
      <t>: Delegating responsibilities and tasks to data custodians or stewards, while actively collaborating with them to ensure alignment of data management practices across teams.</t>
    </r>
    <r>
      <rPr>
        <b/>
        <sz val="11"/>
        <color rgb="FF000000"/>
        <rFont val="Aptos Narrow"/>
      </rPr>
      <t xml:space="preserve">
Strategic Alignment</t>
    </r>
    <r>
      <rPr>
        <sz val="11"/>
        <color rgb="FF000000"/>
        <rFont val="Aptos Narrow"/>
      </rPr>
      <t>: Ensuring data strategies are aligned with organizational goals by working closely with stakeholders to identify data-driven opportunities for business innovation and value creation.</t>
    </r>
    <r>
      <rPr>
        <b/>
        <sz val="11"/>
        <color rgb="FF000000"/>
        <rFont val="Aptos Narrow"/>
      </rPr>
      <t xml:space="preserve">
Cross-Functional Leadership</t>
    </r>
    <r>
      <rPr>
        <sz val="11"/>
        <color rgb="FF000000"/>
        <rFont val="Aptos Narrow"/>
      </rPr>
      <t>: Acting as a bridge between technical teams and business units to manage data resources effectively and facilitate informed decision-making.</t>
    </r>
    <r>
      <rPr>
        <b/>
        <sz val="11"/>
        <color rgb="FF000000"/>
        <rFont val="Aptos Narrow"/>
      </rPr>
      <t xml:space="preserve">
Performance Monitoring and Continuous Improvement</t>
    </r>
    <r>
      <rPr>
        <sz val="11"/>
        <color rgb="FF000000"/>
        <rFont val="Aptos Narrow"/>
      </rPr>
      <t>: Establishing key performance indicators (KPIs) to monitor data quality and performance metrics, driving accountability and continuous improvement in data management efforts.</t>
    </r>
    <r>
      <rPr>
        <b/>
        <sz val="11"/>
        <color rgb="FF000000"/>
        <rFont val="Aptos Narrow"/>
      </rPr>
      <t xml:space="preserve">
Advocacy and Training</t>
    </r>
    <r>
      <rPr>
        <sz val="11"/>
        <color rgb="FF000000"/>
        <rFont val="Aptos Narrow"/>
      </rPr>
      <t>: Promoting data-driven decision-making and ensuring stakeholders are trained on data governance, compliance, and the importance of data literacy across the organization.</t>
    </r>
    <r>
      <rPr>
        <b/>
        <sz val="11"/>
        <color rgb="FF000000"/>
        <rFont val="Aptos Narrow"/>
      </rPr>
      <t xml:space="preserve">
Budget Management</t>
    </r>
    <r>
      <rPr>
        <sz val="11"/>
        <color rgb="FF000000"/>
        <rFont val="Aptos Narrow"/>
      </rPr>
      <t>: Overseeing resources and budget allocation for data-related tasks, ensuring effective use to improve data quality, accessibility, and security.
By fulfilling these responsibilities, a Data Owner ensures that an organization's data strategies and practices are robust, compliant, secure, and aligned with broader business objectives, driving data maturity and transforming data into a valuable strategic asset.</t>
    </r>
  </si>
  <si>
    <r>
      <t>Challenges</t>
    </r>
    <r>
      <rPr>
        <sz val="11"/>
        <color rgb="FF000000"/>
        <rFont val="Aptos Narrow"/>
      </rPr>
      <t>:</t>
    </r>
    <r>
      <rPr>
        <b/>
        <sz val="11"/>
        <color rgb="FF000000"/>
        <rFont val="Aptos Narrow"/>
      </rPr>
      <t xml:space="preserve">
Complexity in Data Governance</t>
    </r>
    <r>
      <rPr>
        <sz val="11"/>
        <color rgb="FF000000"/>
        <rFont val="Aptos Narrow"/>
      </rPr>
      <t>: Coordinating and implementing consistent governance practices across various data domains can be challenging, leading to fragmented data policies.</t>
    </r>
    <r>
      <rPr>
        <b/>
        <sz val="11"/>
        <color rgb="FF000000"/>
        <rFont val="Aptos Narrow"/>
      </rPr>
      <t xml:space="preserve">
Data Quality Challenges</t>
    </r>
    <r>
      <rPr>
        <sz val="11"/>
        <color rgb="FF000000"/>
        <rFont val="Aptos Narrow"/>
      </rPr>
      <t>: Ensuring high data quality and consistency requires constant oversight and access to adequate cleansing resources, which can be resource-intensive.</t>
    </r>
    <r>
      <rPr>
        <b/>
        <sz val="11"/>
        <color rgb="FF000000"/>
        <rFont val="Aptos Narrow"/>
      </rPr>
      <t xml:space="preserve">
Resistance to Change</t>
    </r>
    <r>
      <rPr>
        <sz val="11"/>
        <color rgb="FF000000"/>
        <rFont val="Aptos Narrow"/>
      </rPr>
      <t>: Implementing data policies or systems may face resistance from stakeholders resistant to altering established workflows.</t>
    </r>
    <r>
      <rPr>
        <b/>
        <sz val="11"/>
        <color rgb="FF000000"/>
        <rFont val="Aptos Narrow"/>
      </rPr>
      <t xml:space="preserve">
Compliance and Regulatory Pressure</t>
    </r>
    <r>
      <rPr>
        <sz val="11"/>
        <color rgb="FF000000"/>
        <rFont val="Aptos Narrow"/>
      </rPr>
      <t>: Keeping up with changing legal and regulatory requirements can be demanding and complex, requiring continuous update and monitoring.</t>
    </r>
    <r>
      <rPr>
        <b/>
        <sz val="11"/>
        <color rgb="FF000000"/>
        <rFont val="Aptos Narrow"/>
      </rPr>
      <t xml:space="preserve">
Cross-Functional Coordination</t>
    </r>
    <r>
      <rPr>
        <sz val="11"/>
        <color rgb="FF000000"/>
        <rFont val="Aptos Narrow"/>
      </rPr>
      <t>: Building effective collaboration between technical teams and business units can be difficult, with potential misalignments in goals and communication barriers.</t>
    </r>
    <r>
      <rPr>
        <b/>
        <sz val="11"/>
        <color rgb="FF000000"/>
        <rFont val="Aptos Narrow"/>
      </rPr>
      <t xml:space="preserve">
Security Threats</t>
    </r>
    <r>
      <rPr>
        <sz val="11"/>
        <color rgb="FF000000"/>
        <rFont val="Aptos Narrow"/>
      </rPr>
      <t>: Protecting data from security breaches requires ongoing vigilance and investment in new security technologies and practices.</t>
    </r>
    <r>
      <rPr>
        <b/>
        <sz val="11"/>
        <color rgb="FF000000"/>
        <rFont val="Aptos Narrow"/>
      </rPr>
      <t xml:space="preserve">
Budget Constraints</t>
    </r>
    <r>
      <rPr>
        <sz val="11"/>
        <color rgb="FF000000"/>
        <rFont val="Aptos Narrow"/>
      </rPr>
      <t>: Limited resources may constrain the implementation of necessary data management improvements and technology upgrades.</t>
    </r>
    <r>
      <rPr>
        <b/>
        <sz val="11"/>
        <color rgb="FF000000"/>
        <rFont val="Aptos Narrow"/>
      </rPr>
      <t xml:space="preserve">
Integration Issues</t>
    </r>
    <r>
      <rPr>
        <sz val="11"/>
        <color rgb="FF000000"/>
        <rFont val="Aptos Narrow"/>
      </rPr>
      <t>: Challenges in integrating new data systems with existing infrastructure can lead to inefficiencies or conflicts.</t>
    </r>
    <r>
      <rPr>
        <u/>
        <sz val="11"/>
        <color rgb="FF000000"/>
        <rFont val="Aptos Narrow"/>
      </rPr>
      <t xml:space="preserve">
Latent Gains</t>
    </r>
    <r>
      <rPr>
        <sz val="11"/>
        <color rgb="FF000000"/>
        <rFont val="Aptos Narrow"/>
      </rPr>
      <t>:</t>
    </r>
    <r>
      <rPr>
        <b/>
        <sz val="11"/>
        <color rgb="FF000000"/>
        <rFont val="Aptos Narrow"/>
      </rPr>
      <t xml:space="preserve">
Enhanced Decision-Making</t>
    </r>
    <r>
      <rPr>
        <sz val="11"/>
        <color rgb="FF000000"/>
        <rFont val="Aptos Narrow"/>
      </rPr>
      <t>: Effective data ownership can lead to improved data-driven decision-making, fostering innovation and strategic advancement.</t>
    </r>
    <r>
      <rPr>
        <b/>
        <sz val="11"/>
        <color rgb="FF000000"/>
        <rFont val="Aptos Narrow"/>
      </rPr>
      <t xml:space="preserve">
Improved Data Quality</t>
    </r>
    <r>
      <rPr>
        <sz val="11"/>
        <color rgb="FF000000"/>
        <rFont val="Aptos Narrow"/>
      </rPr>
      <t>: Proactive data management leads to cleaner, more reliable, and higher-quality data, enhancing operational effectiveness.</t>
    </r>
    <r>
      <rPr>
        <b/>
        <sz val="11"/>
        <color rgb="FF000000"/>
        <rFont val="Aptos Narrow"/>
      </rPr>
      <t xml:space="preserve">
Compliance and Security</t>
    </r>
    <r>
      <rPr>
        <sz val="11"/>
        <color rgb="FF000000"/>
        <rFont val="Aptos Narrow"/>
      </rPr>
      <t>: Robust data governance helps mitigate risks and ensures compliance with regulatory frameworks, protecting organizational integrity and reputation.</t>
    </r>
    <r>
      <rPr>
        <b/>
        <sz val="11"/>
        <color rgb="FF000000"/>
        <rFont val="Aptos Narrow"/>
      </rPr>
      <t xml:space="preserve">
Cross-Functional Collaboration</t>
    </r>
    <r>
      <rPr>
        <sz val="11"/>
        <color rgb="FF000000"/>
        <rFont val="Aptos Narrow"/>
      </rPr>
      <t>: Enhanced alignment between teams improves communication, leading to more cohesive strategies and execution across business and IT functions.</t>
    </r>
    <r>
      <rPr>
        <b/>
        <sz val="11"/>
        <color rgb="FF000000"/>
        <rFont val="Aptos Narrow"/>
      </rPr>
      <t xml:space="preserve">
Cost Efficiency</t>
    </r>
    <r>
      <rPr>
        <sz val="11"/>
        <color rgb="FF000000"/>
        <rFont val="Aptos Narrow"/>
      </rPr>
      <t>: Streamlining data processes and eliminating redundancies can lead to operational efficiencies and reduce costs over time.</t>
    </r>
    <r>
      <rPr>
        <b/>
        <sz val="11"/>
        <color rgb="FF000000"/>
        <rFont val="Aptos Narrow"/>
      </rPr>
      <t xml:space="preserve">
Competitive Advantage</t>
    </r>
    <r>
      <rPr>
        <sz val="11"/>
        <color rgb="FF000000"/>
        <rFont val="Aptos Narrow"/>
      </rPr>
      <t>: By leveraging data effectively, organizations can gain a competitive edge through better market insights and customer understanding.</t>
    </r>
    <r>
      <rPr>
        <b/>
        <sz val="11"/>
        <color rgb="FF000000"/>
        <rFont val="Aptos Narrow"/>
      </rPr>
      <t xml:space="preserve">
Innovation Opportunities</t>
    </r>
    <r>
      <rPr>
        <sz val="11"/>
        <color rgb="FF000000"/>
        <rFont val="Aptos Narrow"/>
      </rPr>
      <t>: Well-managed data opens doors to new opportunities for innovation, product development, and personalized customer experiences.</t>
    </r>
    <r>
      <rPr>
        <b/>
        <sz val="11"/>
        <color rgb="FF000000"/>
        <rFont val="Aptos Narrow"/>
      </rPr>
      <t xml:space="preserve">
Employee Empowerment</t>
    </r>
    <r>
      <rPr>
        <sz val="11"/>
        <color rgb="FF000000"/>
        <rFont val="Aptos Narrow"/>
      </rPr>
      <t>: Training initiatives under data ownership can lead to higher data literacy, empowering employees to make informed decisions and contribute to strategic goals.
By addressing these issues and pursuing latent gains, a Data Owner can significantly impact the organization's ability to manage data as a strategic asset, turning challenges into opportunities for growth and value creation.</t>
    </r>
  </si>
  <si>
    <r>
      <t>The FAIR principles are key guidelines for improving data management and harnessing the value of data assets. Implementing these principles can bring several potential benefits to an organization through the role of a Data Owner:</t>
    </r>
    <r>
      <rPr>
        <u/>
        <sz val="11"/>
        <color rgb="FF000000"/>
        <rFont val="Aptos Narrow"/>
      </rPr>
      <t xml:space="preserve">
Potential FAIR Benefits</t>
    </r>
    <r>
      <rPr>
        <sz val="11"/>
        <color rgb="FF000000"/>
        <rFont val="Aptos Narrow"/>
      </rPr>
      <t>:</t>
    </r>
    <r>
      <rPr>
        <b/>
        <sz val="11"/>
        <color rgb="FF000000"/>
        <rFont val="Aptos Narrow"/>
      </rPr>
      <t xml:space="preserve">
1. Findable</t>
    </r>
    <r>
      <rPr>
        <sz val="11"/>
        <color rgb="FF000000"/>
        <rFont val="Aptos Narrow"/>
      </rPr>
      <t>:</t>
    </r>
    <r>
      <rPr>
        <b/>
        <sz val="11"/>
        <color rgb="FF000000"/>
        <rFont val="Aptos Narrow"/>
      </rPr>
      <t xml:space="preserve">
Enhanced Discoverability</t>
    </r>
    <r>
      <rPr>
        <sz val="11"/>
        <color rgb="FF000000"/>
        <rFont val="Aptos Narrow"/>
      </rPr>
      <t>: By implementing standardized metadata and indexing, data becomes easily searchable, enabling stakeholders to quickly locate needed information.
Efficient Data Utilization: Improved discoverability reduces time spent searching for data, allowing teams to focus on analysis and decision-making.</t>
    </r>
    <r>
      <rPr>
        <b/>
        <sz val="11"/>
        <color rgb="FF000000"/>
        <rFont val="Aptos Narrow"/>
      </rPr>
      <t xml:space="preserve">
2. Accessible</t>
    </r>
    <r>
      <rPr>
        <sz val="11"/>
        <color rgb="FF000000"/>
        <rFont val="Aptos Narrow"/>
      </rPr>
      <t>:</t>
    </r>
    <r>
      <rPr>
        <b/>
        <sz val="11"/>
        <color rgb="FF000000"/>
        <rFont val="Aptos Narrow"/>
      </rPr>
      <t xml:space="preserve">
Improved Data Sharing</t>
    </r>
    <r>
      <rPr>
        <sz val="11"/>
        <color rgb="FF000000"/>
        <rFont val="Aptos Narrow"/>
      </rPr>
      <t>: Ensuring data accessibility through clearly defined protocols allows stakeholders across the organization to seamlessly access data, fostering collaboration.
Transparent Permission Structures: Establishing clear data access protocols reduces confusion and enhances security by ensuring only authorized users can access sensitive data.</t>
    </r>
    <r>
      <rPr>
        <b/>
        <sz val="11"/>
        <color rgb="FF000000"/>
        <rFont val="Aptos Narrow"/>
      </rPr>
      <t xml:space="preserve">
3. Interoperable</t>
    </r>
    <r>
      <rPr>
        <sz val="11"/>
        <color rgb="FF000000"/>
        <rFont val="Aptos Narrow"/>
      </rPr>
      <t>:</t>
    </r>
    <r>
      <rPr>
        <b/>
        <sz val="11"/>
        <color rgb="FF000000"/>
        <rFont val="Aptos Narrow"/>
      </rPr>
      <t xml:space="preserve">
System Compatibility</t>
    </r>
    <r>
      <rPr>
        <sz val="11"/>
        <color rgb="FF000000"/>
        <rFont val="Aptos Narrow"/>
      </rPr>
      <t>: Interoperable data can integrate across different systems and platforms, reducing silos and increasing data flow across functions.
Enhanced Collaboration: It simplifies data collaboration both internally and externally with partners, as data can be easily shared and utilized in a variety of formats without technical barriers.</t>
    </r>
    <r>
      <rPr>
        <b/>
        <sz val="11"/>
        <color rgb="FF000000"/>
        <rFont val="Aptos Narrow"/>
      </rPr>
      <t xml:space="preserve">
4. Reusable</t>
    </r>
    <r>
      <rPr>
        <sz val="11"/>
        <color rgb="FF000000"/>
        <rFont val="Aptos Narrow"/>
      </rPr>
      <t>:</t>
    </r>
    <r>
      <rPr>
        <b/>
        <sz val="11"/>
        <color rgb="FF000000"/>
        <rFont val="Aptos Narrow"/>
      </rPr>
      <t xml:space="preserve">
Maximized Data Value</t>
    </r>
    <r>
      <rPr>
        <sz val="11"/>
        <color rgb="FF000000"/>
        <rFont val="Aptos Narrow"/>
      </rPr>
      <t>: Data that is structured for reusability enhances its value by allowing teams to leverage it for multiple analyses and projects beyond its initial purpose.
Sustainability: Reusable data facilitates long-term sustainability of data assets, reducing duplication of efforts and promoting efficient use of resources.</t>
    </r>
    <r>
      <rPr>
        <u/>
        <sz val="11"/>
        <color rgb="FF000000"/>
        <rFont val="Aptos Narrow"/>
      </rPr>
      <t xml:space="preserve">
Overall Benefits</t>
    </r>
    <r>
      <rPr>
        <sz val="11"/>
        <color rgb="FF000000"/>
        <rFont val="Aptos Narrow"/>
      </rPr>
      <t>:</t>
    </r>
    <r>
      <rPr>
        <b/>
        <sz val="11"/>
        <color rgb="FF000000"/>
        <rFont val="Aptos Narrow"/>
      </rPr>
      <t xml:space="preserve">
Improved Efficiency and Productivity</t>
    </r>
    <r>
      <rPr>
        <sz val="11"/>
        <color rgb="FF000000"/>
        <rFont val="Aptos Narrow"/>
      </rPr>
      <t>: By applying the FAIR principles, organizations can streamline data processes and enhance productivity across teams by facilitating easier access and utilization of information.</t>
    </r>
    <r>
      <rPr>
        <b/>
        <sz val="11"/>
        <color rgb="FF000000"/>
        <rFont val="Aptos Narrow"/>
      </rPr>
      <t xml:space="preserve">
Innovation and Strategic Insight</t>
    </r>
    <r>
      <rPr>
        <sz val="11"/>
        <color rgb="FF000000"/>
        <rFont val="Aptos Narrow"/>
      </rPr>
      <t>: FAIR-aligned data management supports innovative uses of data, helping organizations develop new insights and strategic advances.</t>
    </r>
    <r>
      <rPr>
        <b/>
        <sz val="11"/>
        <color rgb="FF000000"/>
        <rFont val="Aptos Narrow"/>
      </rPr>
      <t xml:space="preserve">
Robust Data Governance</t>
    </r>
    <r>
      <rPr>
        <sz val="11"/>
        <color rgb="FF000000"/>
        <rFont val="Aptos Narrow"/>
      </rPr>
      <t>: The principles reinforce comprehensive data governance, promoting consistency, compliance, and security across data assets.</t>
    </r>
    <r>
      <rPr>
        <b/>
        <sz val="11"/>
        <color rgb="FF000000"/>
        <rFont val="Aptos Narrow"/>
      </rPr>
      <t xml:space="preserve">
Reduced Costs</t>
    </r>
    <r>
      <rPr>
        <sz val="11"/>
        <color rgb="FF000000"/>
        <rFont val="Aptos Narrow"/>
      </rPr>
      <t>: Efficient data management practices can reduce redundancies and minimize resource expenditure associated with data handling and storage.
Integrating the FAIR principles through the role of a Data Owner can greatly enhance the organization's ability to leverage data assets effectively, turning them into a cornerstone for business growth and transformation.</t>
    </r>
  </si>
  <si>
    <t>(note: clarify which speficic FAIR principles are in scope)</t>
  </si>
  <si>
    <t>Data Protection Officer</t>
  </si>
  <si>
    <t>Copilot, https://w3id.org/GDPRtEXT#DataProtectionOfficer (Ranu)</t>
  </si>
  <si>
    <t>Data Privacy Officer, Data Security Officer (By Ranu)</t>
  </si>
  <si>
    <t>Data security  {to clarify}</t>
  </si>
  <si>
    <t>{/ to complete}</t>
  </si>
  <si>
    <t>Data may be FAIR on paper but cannot be used widely without the right security measures - esp for propriatory and data and data containing PII</t>
  </si>
  <si>
    <t>Data Quality Manager</t>
  </si>
  <si>
    <t>Maintains observability, accuracy, completeness, and consistency of enterprise data.</t>
  </si>
  <si>
    <t>Data Quality Lead
Data Quality Specialist
Data Integrity Manager
Data Governance Manager</t>
  </si>
  <si>
    <t>Provides tooling that can assess data quality during its lifecyle; often in connection with enterprise catalogue or a buciness application</t>
  </si>
  <si>
    <t>Data maybe FAIR but if it's of low quality it can be useless</t>
  </si>
  <si>
    <t>See also “researcher” . Data Scientists  find, compile, clean, preprocess and analyze complex datasets.. They interpret data trends, develop predictive models, and communicate findings to inform strategic decision-making. Data Scientists also design experiments, possess expertise in statistical methods, programming, data visualization, database management, and may have domain-specific knowledge.</t>
  </si>
  <si>
    <t>Data Science Specialist (Ranu)</t>
  </si>
  <si>
    <t>Performing analysis of clinical data with all kinds of omics data, primarily image analysis derived data in digital pathology, but also data from RNAseq, DNAseq, Proteomics,etc</t>
  </si>
  <si>
    <t>Benefit: Easily identify, what is there and then more seamlessly integrate and combine for multi-omics analysis</t>
  </si>
  <si>
    <t>Data Standards and Governance Expert</t>
  </si>
  <si>
    <t xml:space="preserve">Provides Data Standards and Governance expertise to a business function. Added by Emiliano: Defines how data should be managed, protected, and used across an organization. Establishes policies, standards, and roles to  ensure data is accurate, secure, compliant with regulations, and aligned with business objectives. </t>
  </si>
  <si>
    <t>Policy maker</t>
  </si>
  <si>
    <t>Researcher , {ER} Data Owner, Data Steward</t>
  </si>
  <si>
    <t>Works with the scientists (researchers) and Tech {to clarify using a role in this table } to establish lists of controlled terms that can be used to populate Laboratory Information Management System (LIM) and Manufacturing Execution System( MES) systems, so methods processes and recorded data and be described and recorded in standard/FAIR format before it gets reported into a central database.  When working on processes related to production (tablet production for example), the S88 format (https://en.wikipedia.org/wiki/ISA-88#:~:text=S88%2C%20shorthand%20for%20ANSI%2FISA-88%2C%20is%20a%20standard%20addressing,the%20ISA%20in%201995%20and%20updated%20in%202010.) is used. Added by Emiliano: 1. Defines polciies and standards for data quality, secury, provacy, and usage of data. 2. Assigns roles and responsabilities for data assets, e.g.: data stewardship, data ownership. 3. Ensures data practices comply with internal policies and external regulations. 4. Maintains visibility into data provenance, lineage, and transformations to support transparency, traceability, and trust. 5. Promotes adoption of data governance practices.</t>
  </si>
  <si>
    <t>n/a</t>
  </si>
  <si>
    <t>{nice to have/ to complete} Subject Matter Expert</t>
  </si>
  <si>
    <t>Acts as the key link between business and technical teams, ensuring data is accurate, compliant, and aligned with organizational goals.
They define governance policies, procedures, and roles, set and maintain data quality rules, monitor KPIs, and resolve issues with relevant stakeholders.
They manage master data to maintain a single source of truth, ensure proper integration and synchronization, and keep metadata and data catalogs accurate and accessible.
The role involves ensuring compliance with regulations like GDPR or HIPAA, maintaining audit trails, and promoting best practices through training and stakeholder engagement.
Typical outputs include data quality documentation, business glossaries, stew</t>
  </si>
  <si>
    <t>Improve data quality, trust, and discovery while reducing duplication.
It strengthens compliance and traceability through clear metadata and audit trails.
Interoperability enables seamless integration across systems, boosting collaboration and the value of master data.
Reusability ensures data can serve multiple purposes, maximizing long-term value and supporting continuous improvement.</t>
  </si>
  <si>
    <t>Data Strategy Owner</t>
  </si>
  <si>
    <t>Defines the roadmap and investments for data lifecycle management and strategic alignment. Involved in Data Governance</t>
  </si>
  <si>
    <t>Copilot / {missing URL/URI)</t>
  </si>
  <si>
    <t>Data Strategy Lead    Data Governance Lead
Data Program Owner
Data Management Lead (Ranu)</t>
  </si>
  <si>
    <t>Data has been managed in such a way that it is useful</t>
  </si>
  <si>
    <t>FAIR architect/ Proposal add as synomym to DATA Architect</t>
  </si>
  <si>
    <t>a role in an organization specifically tasks with developing processes to deliver FAIR data and services</t>
  </si>
  <si>
    <t>giovanni.nisato@pistoiaalliance.org/ Nalini Mehta</t>
  </si>
  <si>
    <t>Data architect, Data Steward</t>
  </si>
  <si>
    <r>
      <t xml:space="preserve">Knowledge enabled citizen </t>
    </r>
    <r>
      <rPr>
        <sz val="11"/>
        <color rgb="FF000000"/>
        <rFont val="Aptos Narrow"/>
      </rPr>
      <t>(proposal to merge with Subject Matter/  NB: this would require a significant revision of the FAIR MM text level 5)</t>
    </r>
  </si>
  <si>
    <t>Organization member who is empowered with access to information, possesses critical thinking skills, and is digitally literate, enabling them to contribute effectively to the organization’s goals and objectives.</t>
  </si>
  <si>
    <t>Knowledge Scientist, Research Fellow, {to check / we may be referring to different roles}</t>
  </si>
  <si>
    <t>{no specific persona}</t>
  </si>
  <si>
    <r>
      <t>Organization member who is empowered with access to information, possesses critical thinking skills, and is digitally literate, enabling them to contribute effectively to the organization’s goals and objectives. Evolves in a very high maturity level FAIR organisation (levels 4-5)
This a "meta' role: practically any person in an orgazation that has access to FAIR-enabled data products can be a  "Knowledge-enabled citizen". They can utilize data products and robust analytical services, including AI linking provenance to machine-interpretable data.</t>
    </r>
    <r>
      <rPr>
        <strike/>
        <sz val="11"/>
        <color rgb="FF7030A0"/>
        <rFont val="Aptos Narrow"/>
      </rPr>
      <t xml:space="preserve">
1. lead conversations with your organization’s stakeholders to understand their pain points
2. debate with stakeholders about the definition of a “customer”
3. draw whiteboard sketches that define the schemas and models for your team's data
4. meet people who come to you asking about data
5. find yourself in the middle of conversations between data producers and consumers?
maintain a data catalog
6. negotiate with data owners
7. wrangle and clean data
8. source data for machine learning and applications
9. feel responsible for your team's data</t>
    </r>
  </si>
  <si>
    <t>NB: the issues and latent gains are assumed to be largely reduced at high level of FAIR maturity in which this persona emerges. They are reminded for completeness:
Issues: data fragmentation across silos and systems; inconsistent metadata and ontologies; limited discoverability of legacy data; unclear or inconsistent regulatory documentation; high duplication of experiments; delayed project timelines due to inefficient data retrieval.
Latent gains: clear demonstration of value in standardising processes; opportunities to reduce operational inefficiencies; stronger case for investing in data governance infrastructure; ability to highlight competitive advantage from improved data reusability.</t>
  </si>
  <si>
    <t>Improved efficiency through fast, reliable access to high-quality data; enhanced regulatory compliance via standardised documentation and clear provenance; consistent metadata and ontologies enabling cross-project data integration; better utilisation of historical and real-world data;
 stronger collaboration between research, clinical, and regulatory functions;
accelerated innovation through streamlined knowledge sharing across internal teams and external partners.</t>
  </si>
  <si>
    <t>Lab manager</t>
  </si>
  <si>
    <t>A wide range of responsibilities, including budget and spends, overseeing daily operations, ensuring safety, managing lab and IT equipments and supplies, and supervising staff.</t>
  </si>
  <si>
    <t>John Apathy, Debashree Chakrabarti</t>
  </si>
  <si>
    <t>Principal investigator (in academic institutions)</t>
  </si>
  <si>
    <t>Project Manager, Data Strategy Owner Researcher</t>
  </si>
  <si>
    <t>1. Represent the lab in group meetings related to process controls, facilities upkeeps etc.
2.Implement policies and guidelines for the lab members
3. track inventory (digital &amp; lab supplies)
4. Resolve concerns</t>
  </si>
  <si>
    <t>1. Assumption that managing digital assets is an IT task and therefore often neglected
2. Lack of training towards FAIR practices
3. Often use old applications due to some legacy automation
4. Do not account for funds for digital asset upkeep or understand security policies
5. The role often rotates within a lab (sort of an additional responsibility)</t>
  </si>
  <si>
    <t>1. Lab managers are very well placed to implement small steps towards FAIR for eg. uniform naming conventions, using archival policies, using software which allow data transactions across platforms etc.
2. Often an argument in early discovery is "my protocol is very unique to use a workflow or database". However this can be easily navigated by making few tweaks to the protocols, Lab managers can enable the team moving away from unstructured data towards structured data.</t>
  </si>
  <si>
    <t>Master data manager 
(Should this be merged with Reference Data Manager)</t>
  </si>
  <si>
    <t>manages the master data in a given business domain</t>
  </si>
  <si>
    <t>Data Owner
Data Curator</t>
  </si>
  <si>
    <t>data from different sources can use different terminologies but is actually the same type of data</t>
  </si>
  <si>
    <t>data from multiple sources can be combined in metanalyses; data becomes FAIR</t>
  </si>
  <si>
    <t>(TBC taxonomist  / )</t>
  </si>
  <si>
    <t xml:space="preserve">Data curator,  Reference Data Manager,  Data Architect </t>
  </si>
  <si>
    <t xml:space="preserve">
i. knowledge elicitation,
ii.domain modeling  iii. knowledge representation and engineering, application of semantic web technology standards and techniques, community engagement, community building, best practices definition, contribution to standards, validation of AI generated semantic representations</t>
  </si>
  <si>
    <t xml:space="preserve">{nice to have/ to complete}
1. enabling data centricity approach
2. provisioning of actionable models
3. definition of what good looks like 4. clarity about model commitment </t>
  </si>
  <si>
    <t>Project Manager</t>
  </si>
  <si>
    <t>Coordinate FAIR data implementation projects, ensuring timely execution and alignment with business objectives</t>
  </si>
  <si>
    <t>Ranu Sharma / AD</t>
  </si>
  <si>
    <t>https://www.pmi.org/about/what-is-a-project-manager</t>
  </si>
  <si>
    <t>Lab managers, Data Owners, FAIR Architects, Data Engineers, Clinical Data Managers,  FAIR Community Managers, C-Suite tech leaders</t>
  </si>
  <si>
    <t>[GN]  Responsible for planning, coordinating, and overseeing projects that implement FAIR data practices across the organization. Their tasks include defining project scope, timelines, budgets, and deliverables; coordinating cross-functional teams including FAIR Architects, Data Engineers, Clinical Data Managers, and FAIR Community Managers; tracking progress; managing risks and dependencies; and ensuring alignment with business objectives and regulatory requirements. They organize meetings, produce status reports, and act as the bridge between technical teams, leadership, and stakeholders, ensuring that FAIR initiatives are executed effectively and deliver measurable value.</t>
  </si>
  <si>
    <t>[GN] Face challenges in orchestrating FAIR data implementation due to the complexity and heterogeneity of organizational data, multiple stakeholders with varying priorities, and legacy systems resistant to change. They must balance technical feasibility, resource availability, timelines, and compliance requirements while ensuring teams understand and adopt FAIR practices. Communicating the benefits and ROI of FAIR adoption to senior leadership and maintaining engagement across diverse departments can also be challenging, particularly in large global pharma organizations.</t>
  </si>
  <si>
    <t>facilitates the FAIR data implementation by coordinating cross-functional teams to establish processes that ensure data is findable, accessible, interoperable, and reusable. They manage project timelines and resources to align data management activities with organizational objectives and compliance standards.
[GN] FAIR data provides frameworks  that simplify planning and execution. It creates more predictable project outcomes by ensuring data is discoverable, and usable from the start. Reusable, high-quality data reduces the effort needed for integration, validation, and quality assurance, accelerating project timelines. FAIR practices also enable better collaboration across teams, improve transparency and traceability of project deliverables, and support regulatory and business objectives by ensuring data is reliable, accessible, and ready for analytics, reporting, or secondary use.
• Findable (F1–F4): Standardized metadata and persistent identifiers make project datasets easy to locate, track, and monitor progress across multiple teams and systems.
• Accessible (A1–A2): Clear access protocols and persistence policies ensure that authorized team members can reliably retrieve data and associated metadata throughout the project lifecycle.
• Interoperable (I1–I3): Standardized formats, controlled vocabularies, and ontologies facilitate seamless integration of datasets from diverse sources, enabling cross-team collaboration and reducing dependency delays.
• Reusable (R1–R1.3): Provenance documentation, usage licenses, and quality standards allow project deliverables to be reused in future studies, regulatory submissions, or organizational analytics, reducing duplication and improving efficiency.</t>
  </si>
  <si>
    <t>Reference Data Manager</t>
  </si>
  <si>
    <t>Manages reference data to ensure master data from multiple sources are aligned</t>
  </si>
  <si>
    <t>Information Steward</t>
  </si>
  <si>
    <t>Ontologist
Data Curator</t>
  </si>
  <si>
    <t>Data cannot be mastered without it having been aligned to standardised reference data resources.
Duplicated/competing code lists across applications
Manual, ticket-based updates and brittle point-to-point feeds
Slow approvals and unclear ownership
Breakages after schema/value changes</t>
  </si>
  <si>
    <t>Data can be mastered which makes it FAIR.
Essential for interoperability</t>
  </si>
  <si>
    <t>Investigator, principal investigator Scientist 1, Senior Scientist 1. Principal Investigator</t>
  </si>
  <si>
    <t>SME, data scientist, data steward, project manager, Lab manager</t>
  </si>
  <si>
    <t xml:space="preserve">1. Conduct experiments &amp; generates petabytes of data
2. Use of platforms for tracking results
a) unstructured - powerpoints, excels, word
b) structured - Laboratory information management systems (LIMS) ; internal databases, ELNs
3. Creators of abbreviations and using it generously across their data, while the full version is known to a handful of peope in their immediate group and present in a footnote in some slide in some folder somewhere.
4. Requestors of knowlegde graphs, AI powered insights
5. Requestors of new technology / great at finding  impossible to work with vendors.
6. Refusers of any tasks they deem as IT fit. For eg. they will generate 300 gb in a single run and leave it at the instrument hdd. Expect IT to name it and move it so there is space in the instrument.Not even inform the IT it needs to be done, and then claim IT isn't efficient. </t>
  </si>
  <si>
    <t>1.No standard practice on documentation
2. Chemists, molecular biologists, invivo scientists, junior interns through senior scientists - all have very different types and approaches towards data governance. We don't have a handbook for what type of data needs to managed which way.
3. The need for ELN to be legible comes with the challenges of identifying information in truncated excels, valuable information like acronyms which is present in some other entry.
4. using encrypted / vendor locked file types which do not allow open access to parse information</t>
  </si>
  <si>
    <t>Researchers are usually the first touch point for data. They create the information. Engaging their efforts in FAIR takes care of a lot of cleanup work after.
What are the bare minimal tools we can give the scientists which work? For. eg. ontologies, can it become an API call available to basic instruments like high content images, qpcrs, cytofs and flow cytometry devices etc.
Can ELN rules be standardized across the industry?  
What raw data needs to be retained for FDA from early discovery, is it important to have original files from large volume imagers which can run into petabytes per project?
Can we have a databse for failed targets or conditions for reagents / antibodies to avoid etc. so across industry we can be more efficient?</t>
  </si>
  <si>
    <t>Subject matter expert</t>
  </si>
  <si>
    <t>A subject matter expert (SME) is a person with deep domain knowledge, often as a practitioner of the area of knowledge. SME are often consulted by knowledge engineers and ontologists in what is known as ‘knowledge elicitation exercice’ to express use cases and concepts which are then organized and modeled in semantic artifact by knowledge engineers. (NB: also stands for Small to Medium Enterprise).</t>
  </si>
  <si>
    <t xml:space="preserve"> Domain specialist, Key opinion leader, Technical Advisor, Resource Person, Thought Leader, Principal Investigator,</t>
  </si>
  <si>
    <t>Researcher, Project manager</t>
  </si>
  <si>
    <r>
      <t>Technology Leader</t>
    </r>
    <r>
      <rPr>
        <sz val="11"/>
        <color rgb="FF000000"/>
        <rFont val="Aptos Narrow"/>
      </rPr>
      <t xml:space="preserve"> - Chief Information Officer (CIO), Chief Digital Officer (CDO), Chief Data Officer (CDO), Chief AI Officer (CAIO)</t>
    </r>
  </si>
  <si>
    <t xml:space="preserve">Senior Information and Digital Technology executive. The most senior executive in an enterprise who works with information technology and computer systems, in order to support enterprise goals.  May also drive digital transformations in a company or an organization. For example by  converting traditional "analog" businesses to ones relying on digital workflows and infrastructure. The CDO is responsible for whole process of digital transformation. </t>
  </si>
  <si>
    <t>Chief Information Officer (CIO), Chief Digital Officer (CDO), Chief Data Officer (CDO), Chief AI Officer (CAIO)</t>
  </si>
  <si>
    <t>CEO, COO, CDO, Business Analysts, Data Architect</t>
  </si>
  <si>
    <t>Technology leader.  Makes executive decisions regarding matters such as the technology strategies, resourcing strategies, purchase of information and communications technology (ICT) solutions from suppliers,  the creation of new ICT systems in-house and the overal capability. Leads and direct the workforce of their specific organization. Recruits managerial talent.  Formulates and execute the  ICT vision, strategy,  governance. Clarifies ICT accountability across functions and roles.  Chief Digital Officer may be a more business oriented role that provides expertise in Digital transformation, general management,  business analysis, adoption of digital technologies and workflows across functions. Reports to the executive teams and / or the board of directors.
Reports to the CEO, or COO or CFO depending on the organisation.</t>
  </si>
  <si>
    <t xml:space="preserve">Improve data quality and make data landscape "AI ready" to increase the impact of technology investments on business .  Reduce manual effort and subsequent burden on scientific resources for data findability, quality and re-use through data interoperability. </t>
  </si>
  <si>
    <t>(Meta)data are assigned a globally unique and persistent identifier</t>
  </si>
  <si>
    <t>Data are described with rich metadata (defined by R1 below)</t>
  </si>
  <si>
    <t>Metadata clearly and explicitly include the identifier of the data they describe</t>
  </si>
  <si>
    <t>(Meta)data are registered or indexed in a searchable resource</t>
  </si>
  <si>
    <t>(Meta)data are retrievable by their identifier using a standardised communications protocol</t>
  </si>
  <si>
    <t>The protocol is open, free, and universally implementable</t>
  </si>
  <si>
    <t>The protocol allows for an authentication and authorisation procedure, where necessary</t>
  </si>
  <si>
    <t>Metadata are accessible, even when the data are no longer available</t>
  </si>
  <si>
    <t>(Meta)data use a formal, accessible, shared, and broadly applicable language for knowledge representation.</t>
  </si>
  <si>
    <t>Meta)data use vocabularies that follow FAIR principles</t>
  </si>
  <si>
    <t>Meta)data include qualified references to other (meta)data</t>
  </si>
  <si>
    <t>(Meta)data are richly described with a plurality of accurate and relevant attributes</t>
  </si>
  <si>
    <t xml:space="preserve"> (Meta)data are released with a clear and accessible data usage license</t>
  </si>
  <si>
    <t xml:space="preserve"> (Meta)data are associated with detailed provenance</t>
  </si>
  <si>
    <t xml:space="preserve"> (Meta)data meet domain-relevant community standards</t>
  </si>
  <si>
    <t>FAIRMM-link</t>
  </si>
  <si>
    <t>Potential_FAIR_benefits_narrative</t>
  </si>
  <si>
    <t>FAIR_benefits_reformulated</t>
  </si>
  <si>
    <t>F1</t>
  </si>
  <si>
    <t>F2</t>
  </si>
  <si>
    <t>F3</t>
  </si>
  <si>
    <t>F4</t>
  </si>
  <si>
    <t>A1</t>
  </si>
  <si>
    <t>A1.1</t>
  </si>
  <si>
    <t>A1.2</t>
  </si>
  <si>
    <t>A2</t>
  </si>
  <si>
    <t>I1</t>
  </si>
  <si>
    <t xml:space="preserve">I2. </t>
  </si>
  <si>
    <t xml:space="preserve">I3. </t>
  </si>
  <si>
    <t>R1</t>
  </si>
  <si>
    <t>R1.1</t>
  </si>
  <si>
    <t>R1.2</t>
  </si>
  <si>
    <t>R1.3</t>
  </si>
  <si>
    <t>FAIRMM-link-root</t>
  </si>
  <si>
    <t>https://pistoiaalliance.github.io/FAIRMaturityMatrix/FAIR_personas/</t>
  </si>
  <si>
    <t>FIle name</t>
  </si>
  <si>
    <t>MD coding</t>
  </si>
  <si>
    <t xml:space="preserve"># </t>
  </si>
  <si>
    <t xml:space="preserve">## </t>
  </si>
  <si>
    <t xml:space="preserve">Synonyms of </t>
  </si>
  <si>
    <t>|</t>
  </si>
  <si>
    <t>---</t>
  </si>
  <si>
    <t xml:space="preserve">Description of role </t>
  </si>
  <si>
    <t>##</t>
  </si>
  <si>
    <t xml:space="preserve">FAIR persona related to </t>
  </si>
  <si>
    <t>Persona tasks of</t>
  </si>
  <si>
    <t xml:space="preserve">##  </t>
  </si>
  <si>
    <t>Issues and latent gains for</t>
  </si>
  <si>
    <t>###</t>
  </si>
  <si>
    <t xml:space="preserve">Issue for </t>
  </si>
  <si>
    <t>Latent gains for</t>
  </si>
  <si>
    <t>Description of FAIR-benefits for</t>
  </si>
  <si>
    <t>https://github.com/PistoiaAlliance/FAIRMaturityMatrix/edit/FAIR-MM-V1.2/FAIR_personas/Business_Owner.md</t>
  </si>
  <si>
    <t>-</t>
  </si>
  <si>
    <t>F1 ensures persistent identifiers are embedded into the data architecture, enabling consistent referencing across systems</t>
  </si>
  <si>
    <t xml:space="preserve"> F2 enforces rich metadata standards, making datasets machine-actionable and discoverable by design</t>
  </si>
  <si>
    <t xml:space="preserve"> A1 guarantees accessible services and APIs for data delivery within the enterprise</t>
  </si>
  <si>
    <t xml:space="preserve"> I1 enable semantic and technical interoperability across platforms and applications</t>
  </si>
  <si>
    <t xml:space="preserve"> R1.1 ensures reproducibility of workflows and system outputs, providing confidence in architectural reliability.}</t>
  </si>
  <si>
    <t>Synonyms_of_</t>
  </si>
  <si>
    <t>Description_of_role_of_</t>
  </si>
  <si>
    <t xml:space="preserve">FAIR_persona related to </t>
  </si>
  <si>
    <t>Persona_tasks_of_</t>
  </si>
  <si>
    <t>Issues_and_latent_gains_for_</t>
  </si>
  <si>
    <t>Issues_for_</t>
  </si>
  <si>
    <t>Latent_gains_for_</t>
  </si>
  <si>
    <t>Description FAIR-benefits for</t>
  </si>
  <si>
    <t>Content_management_by_email</t>
  </si>
  <si>
    <t>Content_management_by_ORCID</t>
  </si>
  <si>
    <t>This document collects the input received as a follow-up to the call for action during the 2025-06 FAIR community call</t>
  </si>
  <si>
    <t>contributor</t>
  </si>
  <si>
    <t>date_YYYY_MM_DD</t>
  </si>
  <si>
    <t>Persona _label</t>
  </si>
  <si>
    <t>Description_of_role</t>
  </si>
  <si>
    <t>Role_activities</t>
  </si>
  <si>
    <t>email (to consider: ORCID of the contibutor)</t>
  </si>
  <si>
    <t>date input recorded</t>
  </si>
  <si>
    <t xml:space="preserve">one or two words label </t>
  </si>
  <si>
    <t xml:space="preserve">text describing the persona, or role </t>
  </si>
  <si>
    <t>text describinh what does a person in this role do .  This is also known as their  "Jobs" (in the Value Proposition Canvas framework) or "Activities".</t>
  </si>
  <si>
    <t>text describing what are their issues, or latent gains or both for the given persona</t>
  </si>
  <si>
    <t>text describing How would the persona, or person in the role, would benefit from FAIR data ( or: what feature of FAIR data or systems enabled by FAIR would be beneficial)?</t>
  </si>
  <si>
    <t>contributor_of_example</t>
  </si>
  <si>
    <t>thomas.herz@boehringer-ingelheim.com</t>
  </si>
  <si>
    <t>Analysis of clinical biomarker data in translational research</t>
  </si>
  <si>
    <t>phil.r.blake@gsk.com</t>
  </si>
  <si>
    <t>Provides Data Standards and Governance expertise to a business function.</t>
  </si>
  <si>
    <t>Works with the scientists and Tech to establish lists of controlled terms that can be used to populate LIMs and MES systems, so methods processes and recorded data and be described and recorded in standard/FAIR format before it gets reported into a central database.  When working on processes related to production (tablet production for example), the S88 format (https://en.wikipedia.org/wiki/ISA-88#:~:text=S88%2C%20shorthand%20for%20ANSI%2FISA-88%2C%20is%20a%20standard%20addressing,the%20ISA%20in%201995%20and%20updated%20in%202010.) is used.</t>
  </si>
  <si>
    <t>chris.day@perdl.com</t>
  </si>
  <si>
    <t>FAIR Data Lead</t>
  </si>
  <si>
    <t>TBC Nancy</t>
  </si>
  <si>
    <t>https://jobs.syngenta.com/job/fair-data-lead-in-various-jid-3877</t>
  </si>
  <si>
    <t xml:space="preserve">Semantic interoperability expert </t>
  </si>
  <si>
    <t xml:space="preserve">our role
As part of the TDCC-LSH team, you will provide your expertise to stakeholders in the Dutch health and life sciences field to promote best practices and improve FAIRness, with a focus on interoperability. You’ll support the development and use of semantic, ontology-based metadata and data models in the context of a collaborative research data workflow, helping to align research infrastructures and data collections across the LSH research ecosystem. You are the advisor and point of contact for, and will collaborate closely together with, researchers, institutions, and organizations to drive innovation and harmonization in the digital LSH research landscape.
You will join a dynamic interoperability team dedicated to enhancing the accessibility and usability of health and life sciences data. Working closely with other experts of semantic (meta)data, data standards, and ontology development, you will drive seamless data integration across platforms and disciplines, ensuring interoperability and reusability for data driven life sciences and health.
Your profile
We are looking for someone with:
educational background: A degree in data science, bioinformatics, computer science, or a related field, preferably at the post-MSc or PhD level in the LSH domain;
knowledge of FAIR Principles: Familiarity with standards, tools, and resources aligned with FAIR data principles;
skills in (meta)data and ontologies: Proficiency with frameworks such as DCAT, DCAT-AP, HealthDCAT-AP, OWL, RDF, and SPARQL, and familiarity with ontologies and/or standards such as PROV-O, SNOMED CT, OMOP-CMD, FHIR, BFO, DUO, Bioschemas, and EDAM. Hands-on experience (1–3 years) or strong foundational knowledge in building, mapping, and implementing ontologies and designing semantic data models or (meta)data schemas, preferably within the LSH domain;
innovative thinking: Familiarity with knowledge graphs and their integration with Large Language Models (LLMs) is a plus;
soft skills: Strong analytical, problem-solving, and communication skills. You thrive in both independent and team settings and have experience with community management or collaborating with diverse stakeholders in complex, multidisciplinary environments;
languages: Good proficiency of Dutch and English, both spoken and written.
Your tasks
Semantic data modelling: Lead the design, implementation and validation of semantic (meta)data and data models, ensuring their effectiveness and usability in real-world applications for both generic and domain-specific applications (e.g., oncology), formalized using OWL, SHACL, and UML.
(Meta)data schema development: Create and refine (meta)data schemas to align with international standards, ensuring consistency and interoperability across projects.
Interoperability: Develop, maintain and expand ontologies and controlled vocabularies, facilitate interoperability mapping and alignment between data standards and terminologies to improve cross-platform data integration and usability.
Use case implementation: Apply (meta)data and semantic models to specific use cases, supporting data-driven solutions in research, policy, and life sciences and health innovation.
Documentation and guidelines: Collaborate with (inter)national life Sciences and health data communities to facilitate workshops that drive interoperability and demonstrate best practices. Develop comprehensive documentation and best-practices guidelines to improve interoperability within the TDCC-LSH network. </t>
  </si>
  <si>
    <t xml:space="preserve">Semantic data modelling: Lead the design, implementation and validation of semantic (meta)data and data models, ensuring their effectiveness and usability in real-world applications for both generic and domain-specific applications (e.g., oncology), formalized using OWL, SHACL, and UML. </t>
  </si>
  <si>
    <t>https://www.linkedin.com/jobs/view/4207798372/</t>
  </si>
  <si>
    <t xml:space="preserve">(Meta)data schema development: Create and refine (meta)data schemas to align with international standards, ensuring consistency and interoperability across projects. </t>
  </si>
  <si>
    <t xml:space="preserve">Interoperability: Develop, maintain and expand ontologies and controlled vocabularies, facilitate interoperability mapping and alignment between data standards and terminologies to improve cross-platform data integration and usability. </t>
  </si>
  <si>
    <t xml:space="preserve">Use case implementation: Apply (meta)data and semantic models to specific use cases, supporting data-driven solutions in research, policy, and life sciences and health innovation. </t>
  </si>
  <si>
    <t xml:space="preserve">Documentation and guidelines: Collaborate with (inter)national life Sciences and health data communities to facilitate workshops that drive interoperability and demonstrate best practices. Develop comprehensive documentation and best-practices guidelines to improve interoperability within the TDCC-LSH network.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</si>
</sst>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8">
    <font>
      <sz val="11"/>
      <color theme="1"/>
      <name val="Aptos Narrow"/>
      <family val="2"/>
      <scheme val="minor"/>
    </font>
    <font>
      <u/>
      <sz val="11"/>
      <color theme="10"/>
      <name val="Aptos Narrow"/>
      <family val="2"/>
      <scheme val="minor"/>
    </font>
    <font>
      <b/>
      <sz val="11"/>
      <color theme="0"/>
      <name val="Aptos Narrow"/>
      <family val="2"/>
      <scheme val="minor"/>
    </font>
    <font>
      <b/>
      <sz val="11"/>
      <color theme="1"/>
      <name val="Aptos Narrow"/>
      <family val="2"/>
      <scheme val="minor"/>
    </font>
    <font>
      <sz val="11"/>
      <color theme="3" tint="0.499984740745262"/>
      <name val="Aptos Narrow"/>
      <family val="2"/>
      <scheme val="minor"/>
    </font>
    <font>
      <sz val="11"/>
      <color rgb="FF000000"/>
      <name val="Aptos Narrow"/>
    </font>
    <font>
      <i/>
      <sz val="11"/>
      <color rgb="FF000000"/>
      <name val="Aptos Narrow"/>
    </font>
    <font>
      <sz val="11"/>
      <color rgb="FF000000"/>
      <name val="Aptos Narrow"/>
      <family val="2"/>
      <scheme val="minor"/>
    </font>
    <font>
      <sz val="11"/>
      <color rgb="FF7030A0"/>
      <name val="Aptos Narrow"/>
      <family val="2"/>
      <scheme val="minor"/>
    </font>
    <font>
      <sz val="11"/>
      <color rgb="FF7030A0"/>
      <name val="Aptos Narrow"/>
    </font>
    <font>
      <strike/>
      <sz val="11"/>
      <color rgb="FF7030A0"/>
      <name val="Aptos Narrow"/>
    </font>
    <font>
      <sz val="11"/>
      <color rgb="FF215C98"/>
      <name val="Aptos Narrow"/>
    </font>
    <font>
      <b/>
      <sz val="11"/>
      <color rgb="FF000000"/>
      <name val="Aptos Narrow"/>
      <family val="2"/>
    </font>
    <font>
      <sz val="11"/>
      <color rgb="FF000000"/>
      <name val="Aptos Narrow"/>
      <family val="2"/>
    </font>
    <font>
      <sz val="11"/>
      <color rgb="FF242424"/>
      <name val="Aptos Narrow"/>
    </font>
    <font>
      <u/>
      <sz val="11"/>
      <color rgb="FF467886"/>
      <name val="Aptos Narrow"/>
      <family val="2"/>
    </font>
    <font>
      <b/>
      <sz val="11"/>
      <color rgb="FFFFFFFF"/>
      <name val="Aptos Narrow"/>
      <family val="2"/>
    </font>
    <font>
      <sz val="11"/>
      <color rgb="FF4D93D9"/>
      <name val="Aptos Narrow"/>
      <family val="2"/>
    </font>
    <font>
      <strike/>
      <sz val="11"/>
      <color rgb="FF000000"/>
      <name val="Aptos Narrow"/>
      <family val="2"/>
    </font>
    <font>
      <sz val="11"/>
      <color rgb="FF467886"/>
      <name val="Aptos Narrow"/>
    </font>
    <font>
      <u/>
      <sz val="11"/>
      <color rgb="FF467886"/>
      <name val="Aptos Narrow"/>
    </font>
    <font>
      <sz val="11"/>
      <color rgb="FF7030A0"/>
      <name val="Aptos Narrow"/>
      <family val="2"/>
    </font>
    <font>
      <sz val="11"/>
      <color rgb="FFFF0000"/>
      <name val="Aptos Narrow"/>
    </font>
    <font>
      <sz val="11"/>
      <color rgb="FF4D93D9"/>
      <name val="Aptos Narrow"/>
    </font>
    <font>
      <sz val="11"/>
      <color rgb="FFFF0000"/>
      <name val="Aptos Narrow"/>
      <family val="2"/>
    </font>
    <font>
      <strike/>
      <sz val="11"/>
      <color rgb="FFFF0000"/>
      <name val="Aptos Narrow"/>
      <family val="2"/>
    </font>
    <font>
      <i/>
      <sz val="11"/>
      <color rgb="FF215C98"/>
      <name val="Aptos Narrow"/>
      <family val="2"/>
    </font>
    <font>
      <b/>
      <sz val="10"/>
      <color rgb="FF222222"/>
      <name val="Lucida Grande"/>
      <charset val="1"/>
    </font>
    <font>
      <sz val="11"/>
      <color rgb="FF215C98"/>
      <name val="Aptos Narrow"/>
      <family val="2"/>
    </font>
    <font>
      <strike/>
      <sz val="11"/>
      <color rgb="FF7030A0"/>
      <name val="Aptos Narrow"/>
      <family val="2"/>
    </font>
    <font>
      <sz val="11"/>
      <color rgb="FF242424"/>
      <name val="Aptos Narrow"/>
      <family val="2"/>
    </font>
    <font>
      <b/>
      <sz val="11"/>
      <color rgb="FF000000"/>
      <name val="Aptos Narrow"/>
    </font>
    <font>
      <u/>
      <sz val="11"/>
      <color rgb="FF000000"/>
      <name val="Aptos Narrow"/>
    </font>
    <font>
      <strike/>
      <sz val="11"/>
      <color rgb="FF000000"/>
      <name val="Aptos Narrow"/>
    </font>
    <font>
      <sz val="11"/>
      <color rgb="FF782170"/>
      <name val="Aptos Narrow"/>
      <family val="2"/>
    </font>
    <font>
      <b/>
      <sz val="11"/>
      <color rgb="FFFFFFFF"/>
      <name val="Aptos Narrow"/>
    </font>
    <font>
      <sz val="11"/>
      <color rgb="FF242424"/>
      <name val="Aptos Narrow"/>
      <charset val="1"/>
    </font>
    <font>
      <u/>
      <sz val="11"/>
      <color rgb="FFFF0000"/>
      <name val="Aptos Narrow"/>
    </font>
    <font>
      <sz val="11"/>
      <color rgb="FFFF0000"/>
      <name val="Aptos Narrow"/>
      <family val="2"/>
      <scheme val="minor"/>
    </font>
    <font>
      <sz val="11"/>
      <color rgb="FF000000"/>
      <name val="Aptos Narrow"/>
      <scheme val="minor"/>
    </font>
    <font>
      <b/>
      <u/>
      <sz val="12"/>
      <color rgb="FF333333"/>
      <name val="Lato"/>
      <family val="2"/>
      <charset val="1"/>
    </font>
    <font>
      <b/>
      <sz val="12"/>
      <color rgb="FF333333"/>
      <name val="Lato"/>
      <family val="2"/>
      <charset val="1"/>
    </font>
    <font>
      <sz val="12"/>
      <color rgb="FF333333"/>
      <name val="Lato"/>
      <family val="2"/>
      <charset val="1"/>
    </font>
    <font>
      <sz val="11"/>
      <color rgb="FFFF0000"/>
      <name val="Aptos Narrow"/>
      <charset val="1"/>
    </font>
    <font>
      <u/>
      <sz val="11"/>
      <color rgb="FF7030A0"/>
      <name val="Aptos Narrow"/>
      <family val="2"/>
      <scheme val="minor"/>
    </font>
    <font>
      <strike/>
      <sz val="11"/>
      <color rgb="FF000000"/>
      <name val="Aptos Narrow"/>
      <scheme val="minor"/>
    </font>
    <font>
      <sz val="11"/>
      <color rgb="FF7030A0"/>
      <name val="Aptos Narrow"/>
      <scheme val="minor"/>
    </font>
    <font>
      <b/>
      <sz val="11"/>
      <color rgb="FF7030A0"/>
      <name val="Aptos Narrow"/>
      <family val="2"/>
      <scheme val="minor"/>
    </font>
    <font>
      <b/>
      <sz val="11"/>
      <color rgb="FF000000"/>
      <name val="Aptos Narrow"/>
      <scheme val="minor"/>
    </font>
    <font>
      <b/>
      <sz val="11"/>
      <color rgb="FF7030A0"/>
      <name val="Aptos Narrow"/>
      <scheme val="minor"/>
    </font>
    <font>
      <sz val="11"/>
      <color rgb="FF186C24"/>
      <name val="Aptos Narrow"/>
    </font>
    <font>
      <sz val="11"/>
      <color rgb="FF186C24"/>
      <name val="Aptos Narrow"/>
      <scheme val="minor"/>
    </font>
    <font>
      <sz val="11"/>
      <color rgb="FFFF0000"/>
      <name val="Aptos Narrow"/>
      <scheme val="minor"/>
    </font>
    <font>
      <sz val="11"/>
      <color theme="6"/>
      <name val="Aptos Narrow"/>
      <family val="2"/>
      <scheme val="minor"/>
    </font>
    <font>
      <sz val="11"/>
      <color theme="1"/>
      <name val="Aptos Narrow"/>
      <scheme val="minor"/>
    </font>
    <font>
      <sz val="11"/>
      <color rgb="FF12501C"/>
      <name val="Aptos Narrow"/>
      <scheme val="minor"/>
    </font>
    <font>
      <sz val="11"/>
      <color rgb="FF00B0F0"/>
      <name val="Aptos Narrow"/>
      <scheme val="minor"/>
    </font>
    <font>
      <sz val="11"/>
      <color rgb="FF0070C0"/>
      <name val="Aptos Narrow"/>
      <scheme val="minor"/>
    </font>
  </fonts>
  <fills count="15">
    <fill>
      <patternFill patternType="none"/>
    </fill>
    <fill>
      <patternFill patternType="gray125"/>
    </fill>
    <fill>
      <patternFill patternType="solid">
        <fgColor rgb="FFF2F2F2"/>
        <bgColor indexed="64"/>
      </patternFill>
    </fill>
    <fill>
      <patternFill patternType="solid">
        <fgColor theme="6"/>
        <bgColor theme="6"/>
      </patternFill>
    </fill>
    <fill>
      <patternFill patternType="solid">
        <fgColor rgb="FF186C24"/>
        <bgColor rgb="FF186C24"/>
      </patternFill>
    </fill>
    <fill>
      <patternFill patternType="solid">
        <fgColor rgb="FFD9D9D9"/>
        <bgColor rgb="FFD9D9D9"/>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59999389629810485"/>
        <bgColor indexed="64"/>
      </patternFill>
    </fill>
    <fill>
      <patternFill patternType="solid">
        <fgColor rgb="FFFFFFFF"/>
        <bgColor indexed="64"/>
      </patternFill>
    </fill>
    <fill>
      <patternFill patternType="solid">
        <fgColor theme="3" tint="0.749992370372631"/>
        <bgColor indexed="64"/>
      </patternFill>
    </fill>
    <fill>
      <patternFill patternType="solid">
        <fgColor rgb="FFFFC000"/>
        <bgColor indexed="64"/>
      </patternFill>
    </fill>
    <fill>
      <patternFill patternType="solid">
        <fgColor theme="0"/>
        <bgColor indexed="64"/>
      </patternFill>
    </fill>
    <fill>
      <patternFill patternType="solid">
        <fgColor theme="7" tint="0.79998168889431442"/>
        <bgColor theme="7" tint="0.79998168889431442"/>
      </patternFill>
    </fill>
    <fill>
      <patternFill patternType="solid">
        <fgColor theme="2"/>
        <bgColor indexed="64"/>
      </patternFill>
    </fill>
  </fills>
  <borders count="11">
    <border>
      <left/>
      <right/>
      <top/>
      <bottom/>
      <diagonal/>
    </border>
    <border>
      <left/>
      <right/>
      <top style="medium">
        <color theme="1"/>
      </top>
      <bottom style="medium">
        <color theme="1"/>
      </bottom>
      <diagonal/>
    </border>
    <border>
      <left/>
      <right/>
      <top style="medium">
        <color rgb="FF000000"/>
      </top>
      <bottom style="medium">
        <color rgb="FF000000"/>
      </bottom>
      <diagonal/>
    </border>
    <border>
      <left/>
      <right/>
      <top/>
      <bottom style="medium">
        <color rgb="FF000000"/>
      </bottom>
      <diagonal/>
    </border>
    <border>
      <left style="thin">
        <color auto="1"/>
      </left>
      <right style="thin">
        <color auto="1"/>
      </right>
      <top/>
      <bottom style="thin">
        <color auto="1"/>
      </bottom>
      <diagonal/>
    </border>
    <border>
      <left style="medium">
        <color rgb="FF000000"/>
      </left>
      <right/>
      <top/>
      <bottom/>
      <diagonal/>
    </border>
    <border>
      <left style="thin">
        <color auto="1"/>
      </left>
      <right style="thin">
        <color auto="1"/>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thin">
        <color theme="7" tint="0.39997558519241921"/>
      </top>
      <bottom style="thin">
        <color theme="7" tint="0.39997558519241921"/>
      </bottom>
      <diagonal/>
    </border>
  </borders>
  <cellStyleXfs count="2">
    <xf numFmtId="0" fontId="0" fillId="0" borderId="0"/>
    <xf numFmtId="0" fontId="1" fillId="0" borderId="0" applyNumberFormat="0" applyFill="0" applyBorder="0" applyAlignment="0" applyProtection="0"/>
  </cellStyleXfs>
  <cellXfs count="130">
    <xf numFmtId="0" fontId="0" fillId="0" borderId="0" xfId="0"/>
    <xf numFmtId="0" fontId="0" fillId="0" borderId="0" xfId="0" applyAlignment="1">
      <alignment wrapText="1"/>
    </xf>
    <xf numFmtId="0" fontId="0" fillId="0" borderId="0" xfId="0" applyAlignment="1">
      <alignment vertical="top" wrapText="1"/>
    </xf>
    <xf numFmtId="0" fontId="2" fillId="3" borderId="1" xfId="0" applyFont="1" applyFill="1" applyBorder="1" applyAlignment="1">
      <alignment wrapText="1"/>
    </xf>
    <xf numFmtId="0" fontId="3" fillId="0" borderId="0" xfId="0" applyFont="1"/>
    <xf numFmtId="0" fontId="4" fillId="0" borderId="0" xfId="0" applyFont="1" applyAlignment="1">
      <alignment vertical="top" wrapText="1"/>
    </xf>
    <xf numFmtId="0" fontId="0" fillId="0" borderId="0" xfId="0" applyAlignment="1">
      <alignment horizontal="left" vertical="top" wrapText="1"/>
    </xf>
    <xf numFmtId="0" fontId="7" fillId="0" borderId="0" xfId="0" applyFont="1" applyAlignment="1">
      <alignment vertical="top" wrapText="1"/>
    </xf>
    <xf numFmtId="0" fontId="0" fillId="0" borderId="0" xfId="0" applyAlignment="1">
      <alignment vertical="top"/>
    </xf>
    <xf numFmtId="0" fontId="8" fillId="0" borderId="0" xfId="0" applyFont="1" applyAlignment="1">
      <alignment vertical="top" wrapText="1"/>
    </xf>
    <xf numFmtId="0" fontId="2" fillId="3" borderId="1" xfId="0" applyFont="1" applyFill="1" applyBorder="1" applyAlignment="1">
      <alignment vertical="top" wrapText="1"/>
    </xf>
    <xf numFmtId="0" fontId="12" fillId="0" borderId="0" xfId="0" applyFont="1" applyAlignment="1">
      <alignment wrapText="1"/>
    </xf>
    <xf numFmtId="0" fontId="13" fillId="0" borderId="0" xfId="0" applyFont="1" applyAlignment="1">
      <alignment wrapText="1"/>
    </xf>
    <xf numFmtId="0" fontId="1" fillId="0" borderId="0" xfId="1" applyFill="1" applyBorder="1" applyAlignment="1">
      <alignment wrapText="1"/>
    </xf>
    <xf numFmtId="0" fontId="14" fillId="0" borderId="0" xfId="0" applyFont="1"/>
    <xf numFmtId="0" fontId="15" fillId="0" borderId="0" xfId="0" applyFont="1" applyAlignment="1">
      <alignment wrapText="1"/>
    </xf>
    <xf numFmtId="0" fontId="16" fillId="4" borderId="2" xfId="0" applyFont="1" applyFill="1" applyBorder="1" applyAlignment="1">
      <alignment wrapText="1"/>
    </xf>
    <xf numFmtId="0" fontId="17" fillId="0" borderId="0" xfId="0" applyFont="1" applyAlignment="1">
      <alignment wrapText="1"/>
    </xf>
    <xf numFmtId="0" fontId="1" fillId="5" borderId="0" xfId="1" applyFill="1" applyBorder="1" applyAlignment="1">
      <alignment wrapText="1"/>
    </xf>
    <xf numFmtId="0" fontId="13" fillId="5" borderId="0" xfId="0" applyFont="1" applyFill="1" applyAlignment="1">
      <alignment wrapText="1"/>
    </xf>
    <xf numFmtId="14" fontId="13" fillId="5" borderId="0" xfId="0" applyNumberFormat="1" applyFont="1" applyFill="1" applyAlignment="1">
      <alignment wrapText="1"/>
    </xf>
    <xf numFmtId="14" fontId="13" fillId="0" borderId="0" xfId="0" applyNumberFormat="1" applyFont="1" applyAlignment="1">
      <alignment wrapText="1"/>
    </xf>
    <xf numFmtId="0" fontId="27" fillId="2" borderId="0" xfId="0" applyFont="1" applyFill="1" applyAlignment="1">
      <alignment vertical="top"/>
    </xf>
    <xf numFmtId="0" fontId="27" fillId="2" borderId="0" xfId="0" applyFont="1" applyFill="1" applyAlignment="1">
      <alignment vertical="top" wrapText="1"/>
    </xf>
    <xf numFmtId="0" fontId="13" fillId="5" borderId="0" xfId="0" applyFont="1" applyFill="1" applyAlignment="1">
      <alignment vertical="top" wrapText="1"/>
    </xf>
    <xf numFmtId="0" fontId="1" fillId="5" borderId="0" xfId="1" applyFill="1" applyBorder="1" applyAlignment="1">
      <alignment vertical="top" wrapText="1"/>
    </xf>
    <xf numFmtId="0" fontId="24" fillId="5" borderId="0" xfId="0" applyFont="1" applyFill="1" applyAlignment="1">
      <alignment vertical="top" wrapText="1"/>
    </xf>
    <xf numFmtId="0" fontId="5" fillId="0" borderId="0" xfId="0" applyFont="1" applyAlignment="1">
      <alignment vertical="top" wrapText="1"/>
    </xf>
    <xf numFmtId="0" fontId="13" fillId="0" borderId="0" xfId="0" applyFont="1" applyAlignment="1">
      <alignment vertical="top" wrapText="1"/>
    </xf>
    <xf numFmtId="0" fontId="30" fillId="0" borderId="0" xfId="0" applyFont="1" applyAlignment="1">
      <alignment vertical="top"/>
    </xf>
    <xf numFmtId="0" fontId="24" fillId="0" borderId="0" xfId="0" applyFont="1" applyAlignment="1">
      <alignment vertical="top" wrapText="1"/>
    </xf>
    <xf numFmtId="0" fontId="32" fillId="0" borderId="0" xfId="0" applyFont="1" applyAlignment="1">
      <alignment vertical="top" wrapText="1"/>
    </xf>
    <xf numFmtId="0" fontId="21" fillId="5" borderId="0" xfId="0" applyFont="1" applyFill="1" applyAlignment="1">
      <alignment vertical="top" wrapText="1"/>
    </xf>
    <xf numFmtId="0" fontId="21" fillId="0" borderId="0" xfId="0" applyFont="1" applyAlignment="1">
      <alignment vertical="top" wrapText="1"/>
    </xf>
    <xf numFmtId="0" fontId="28" fillId="5" borderId="0" xfId="0" applyFont="1" applyFill="1" applyAlignment="1">
      <alignment vertical="top" wrapText="1"/>
    </xf>
    <xf numFmtId="0" fontId="18" fillId="5" borderId="0" xfId="0" applyFont="1" applyFill="1" applyAlignment="1">
      <alignment vertical="top" wrapText="1"/>
    </xf>
    <xf numFmtId="0" fontId="29" fillId="5" borderId="0" xfId="0" applyFont="1" applyFill="1" applyAlignment="1">
      <alignment vertical="top" wrapText="1"/>
    </xf>
    <xf numFmtId="0" fontId="12" fillId="0" borderId="0" xfId="0" applyFont="1" applyAlignment="1">
      <alignment vertical="top" wrapText="1"/>
    </xf>
    <xf numFmtId="0" fontId="1" fillId="0" borderId="0" xfId="1" applyFill="1" applyBorder="1" applyAlignment="1">
      <alignment vertical="top" wrapText="1"/>
    </xf>
    <xf numFmtId="0" fontId="18" fillId="5" borderId="0" xfId="0" applyFont="1" applyFill="1" applyAlignment="1">
      <alignment vertical="top"/>
    </xf>
    <xf numFmtId="0" fontId="25" fillId="5" borderId="0" xfId="0" applyFont="1" applyFill="1" applyAlignment="1">
      <alignment vertical="top" wrapText="1"/>
    </xf>
    <xf numFmtId="0" fontId="31" fillId="0" borderId="0" xfId="0" applyFont="1" applyAlignment="1">
      <alignment vertical="top" wrapText="1"/>
    </xf>
    <xf numFmtId="0" fontId="13" fillId="5" borderId="0" xfId="0" applyFont="1" applyFill="1" applyAlignment="1">
      <alignment vertical="top"/>
    </xf>
    <xf numFmtId="0" fontId="28" fillId="0" borderId="0" xfId="0" applyFont="1" applyAlignment="1">
      <alignment vertical="top" wrapText="1"/>
    </xf>
    <xf numFmtId="0" fontId="5" fillId="5" borderId="0" xfId="0" applyFont="1" applyFill="1" applyAlignment="1">
      <alignment vertical="top" wrapText="1"/>
    </xf>
    <xf numFmtId="0" fontId="26" fillId="5" borderId="0" xfId="0" applyFont="1" applyFill="1" applyAlignment="1">
      <alignment vertical="top" wrapText="1"/>
    </xf>
    <xf numFmtId="0" fontId="20" fillId="0" borderId="0" xfId="0" applyFont="1" applyAlignment="1">
      <alignment vertical="top" wrapText="1"/>
    </xf>
    <xf numFmtId="0" fontId="9" fillId="0" borderId="0" xfId="0" applyFont="1" applyAlignment="1">
      <alignment vertical="top" wrapText="1"/>
    </xf>
    <xf numFmtId="0" fontId="34" fillId="5" borderId="0" xfId="0" applyFont="1" applyFill="1" applyAlignment="1">
      <alignment vertical="top" wrapText="1"/>
    </xf>
    <xf numFmtId="0" fontId="17" fillId="0" borderId="0" xfId="0" applyFont="1" applyAlignment="1">
      <alignment vertical="top" wrapText="1"/>
    </xf>
    <xf numFmtId="0" fontId="23" fillId="0" borderId="0" xfId="0" applyFont="1" applyAlignment="1">
      <alignment vertical="top" wrapText="1"/>
    </xf>
    <xf numFmtId="0" fontId="16" fillId="4" borderId="2" xfId="0" applyFont="1" applyFill="1" applyBorder="1" applyAlignment="1">
      <alignment vertical="top" wrapText="1"/>
    </xf>
    <xf numFmtId="0" fontId="5" fillId="6" borderId="0" xfId="0" applyFont="1" applyFill="1"/>
    <xf numFmtId="0" fontId="5" fillId="0" borderId="0" xfId="0" applyFont="1" applyAlignment="1">
      <alignment wrapText="1"/>
    </xf>
    <xf numFmtId="0" fontId="31" fillId="0" borderId="0" xfId="0" applyFont="1" applyAlignment="1">
      <alignment wrapText="1"/>
    </xf>
    <xf numFmtId="0" fontId="31" fillId="0" borderId="0" xfId="0" applyFont="1"/>
    <xf numFmtId="0" fontId="1" fillId="0" borderId="0" xfId="1"/>
    <xf numFmtId="0" fontId="20" fillId="0" borderId="0" xfId="0" applyFont="1"/>
    <xf numFmtId="0" fontId="5" fillId="0" borderId="0" xfId="0" applyFont="1"/>
    <xf numFmtId="0" fontId="20" fillId="0" borderId="0" xfId="0" applyFont="1" applyAlignment="1">
      <alignment wrapText="1"/>
    </xf>
    <xf numFmtId="0" fontId="35" fillId="4" borderId="2" xfId="0" applyFont="1" applyFill="1" applyBorder="1" applyAlignment="1">
      <alignment wrapText="1"/>
    </xf>
    <xf numFmtId="0" fontId="1" fillId="0" borderId="0" xfId="1" applyAlignment="1">
      <alignment wrapText="1"/>
    </xf>
    <xf numFmtId="0" fontId="1" fillId="0" borderId="0" xfId="1" applyAlignment="1">
      <alignment vertical="top" wrapText="1"/>
    </xf>
    <xf numFmtId="0" fontId="13" fillId="5" borderId="3" xfId="0" applyFont="1" applyFill="1" applyBorder="1" applyAlignment="1">
      <alignment vertical="top" wrapText="1"/>
    </xf>
    <xf numFmtId="0" fontId="13" fillId="0" borderId="3" xfId="0" applyFont="1" applyBorder="1" applyAlignment="1">
      <alignment vertical="top" wrapText="1"/>
    </xf>
    <xf numFmtId="0" fontId="1" fillId="5" borderId="3" xfId="1" applyFill="1" applyBorder="1" applyAlignment="1">
      <alignment vertical="top" wrapText="1"/>
    </xf>
    <xf numFmtId="0" fontId="24" fillId="0" borderId="3" xfId="0" applyFont="1" applyBorder="1" applyAlignment="1">
      <alignment vertical="top" wrapText="1"/>
    </xf>
    <xf numFmtId="0" fontId="1" fillId="0" borderId="0" xfId="1" applyAlignment="1" applyProtection="1"/>
    <xf numFmtId="0" fontId="1" fillId="0" borderId="0" xfId="1" applyAlignment="1" applyProtection="1">
      <alignment wrapText="1"/>
    </xf>
    <xf numFmtId="0" fontId="36" fillId="0" borderId="0" xfId="0" applyFont="1"/>
    <xf numFmtId="0" fontId="37" fillId="0" borderId="0" xfId="0" applyFont="1"/>
    <xf numFmtId="0" fontId="0" fillId="8" borderId="0" xfId="0" applyFill="1"/>
    <xf numFmtId="0" fontId="1" fillId="0" borderId="0" xfId="1" applyBorder="1" applyAlignment="1" applyProtection="1">
      <alignment vertical="top" wrapText="1"/>
    </xf>
    <xf numFmtId="0" fontId="1" fillId="0" borderId="0" xfId="1" applyAlignment="1" applyProtection="1">
      <alignment vertical="top" wrapText="1"/>
    </xf>
    <xf numFmtId="0" fontId="21" fillId="7" borderId="0" xfId="0" applyFont="1" applyFill="1" applyAlignment="1">
      <alignment vertical="top" wrapText="1"/>
    </xf>
    <xf numFmtId="0" fontId="24" fillId="7" borderId="0" xfId="0" applyFont="1" applyFill="1" applyAlignment="1">
      <alignment vertical="top" wrapText="1"/>
    </xf>
    <xf numFmtId="0" fontId="1" fillId="5" borderId="0" xfId="1" applyFill="1" applyBorder="1" applyAlignment="1" applyProtection="1">
      <alignment vertical="top" wrapText="1"/>
    </xf>
    <xf numFmtId="0" fontId="38" fillId="0" borderId="0" xfId="0" applyFont="1" applyAlignment="1">
      <alignment vertical="top" wrapText="1"/>
    </xf>
    <xf numFmtId="0" fontId="13" fillId="7" borderId="0" xfId="0" applyFont="1" applyFill="1" applyAlignment="1">
      <alignment vertical="top" wrapText="1"/>
    </xf>
    <xf numFmtId="0" fontId="1" fillId="7" borderId="0" xfId="1" applyFill="1" applyBorder="1" applyAlignment="1" applyProtection="1">
      <alignment vertical="top" wrapText="1"/>
    </xf>
    <xf numFmtId="0" fontId="15" fillId="7" borderId="0" xfId="0" applyFont="1" applyFill="1" applyAlignment="1">
      <alignment vertical="top" wrapText="1"/>
    </xf>
    <xf numFmtId="0" fontId="13" fillId="7" borderId="3" xfId="0" applyFont="1" applyFill="1" applyBorder="1" applyAlignment="1">
      <alignment vertical="top" wrapText="1"/>
    </xf>
    <xf numFmtId="0" fontId="39" fillId="0" borderId="0" xfId="0" applyFont="1" applyAlignment="1">
      <alignment vertical="top" wrapText="1"/>
    </xf>
    <xf numFmtId="0" fontId="1" fillId="0" borderId="0" xfId="1" applyAlignment="1">
      <alignment vertical="top"/>
    </xf>
    <xf numFmtId="0" fontId="3" fillId="8" borderId="4" xfId="0" applyFont="1" applyFill="1" applyBorder="1" applyAlignment="1">
      <alignment horizontal="center" vertical="top" wrapText="1"/>
    </xf>
    <xf numFmtId="0" fontId="0" fillId="0" borderId="5" xfId="0" applyBorder="1"/>
    <xf numFmtId="0" fontId="3" fillId="8" borderId="6" xfId="0" applyFont="1" applyFill="1" applyBorder="1" applyAlignment="1">
      <alignment horizontal="center" vertical="top" wrapText="1"/>
    </xf>
    <xf numFmtId="164" fontId="1" fillId="0" borderId="0" xfId="1" applyNumberFormat="1" applyAlignment="1">
      <alignment vertical="top"/>
    </xf>
    <xf numFmtId="0" fontId="40" fillId="9" borderId="0" xfId="0" applyFont="1" applyFill="1" applyAlignment="1">
      <alignment vertical="top"/>
    </xf>
    <xf numFmtId="0" fontId="1" fillId="9" borderId="0" xfId="1" applyFill="1" applyAlignment="1">
      <alignment vertical="top"/>
    </xf>
    <xf numFmtId="0" fontId="42" fillId="9" borderId="0" xfId="0" applyFont="1" applyFill="1" applyAlignment="1">
      <alignment vertical="top"/>
    </xf>
    <xf numFmtId="0" fontId="3" fillId="0" borderId="0" xfId="0" applyFont="1" applyAlignment="1">
      <alignment vertical="top"/>
    </xf>
    <xf numFmtId="0" fontId="0" fillId="10" borderId="0" xfId="0" applyFill="1" applyAlignment="1">
      <alignment horizontal="center" vertical="top"/>
    </xf>
    <xf numFmtId="0" fontId="3" fillId="11" borderId="0" xfId="0" applyFont="1" applyFill="1"/>
    <xf numFmtId="0" fontId="0" fillId="11" borderId="0" xfId="0" applyFill="1"/>
    <xf numFmtId="0" fontId="0" fillId="12" borderId="0" xfId="0" applyFill="1" applyAlignment="1">
      <alignment vertical="top" wrapText="1"/>
    </xf>
    <xf numFmtId="0" fontId="0" fillId="0" borderId="7" xfId="0" applyBorder="1"/>
    <xf numFmtId="0" fontId="0" fillId="0" borderId="9" xfId="0" applyBorder="1"/>
    <xf numFmtId="0" fontId="0" fillId="0" borderId="8" xfId="0" applyBorder="1" applyAlignment="1">
      <alignment vertical="top"/>
    </xf>
    <xf numFmtId="0" fontId="0" fillId="0" borderId="7" xfId="0" applyBorder="1" applyAlignment="1">
      <alignment vertical="top" wrapText="1"/>
    </xf>
    <xf numFmtId="0" fontId="38" fillId="0" borderId="7" xfId="0" applyFont="1" applyBorder="1" applyAlignment="1">
      <alignment vertical="top" wrapText="1"/>
    </xf>
    <xf numFmtId="0" fontId="1" fillId="0" borderId="7" xfId="1" applyBorder="1"/>
    <xf numFmtId="0" fontId="0" fillId="13" borderId="10" xfId="0" applyFill="1" applyBorder="1" applyAlignment="1">
      <alignment vertical="top" wrapText="1"/>
    </xf>
    <xf numFmtId="0" fontId="43" fillId="0" borderId="0" xfId="0" applyFont="1" applyAlignment="1">
      <alignment vertical="top"/>
    </xf>
    <xf numFmtId="0" fontId="4" fillId="14" borderId="0" xfId="0" applyFont="1" applyFill="1" applyAlignment="1">
      <alignment vertical="top" wrapText="1"/>
    </xf>
    <xf numFmtId="0" fontId="3" fillId="14" borderId="4" xfId="0" applyFont="1" applyFill="1" applyBorder="1" applyAlignment="1">
      <alignment horizontal="center" vertical="top" wrapText="1"/>
    </xf>
    <xf numFmtId="0" fontId="0" fillId="14" borderId="0" xfId="0" applyFill="1" applyAlignment="1">
      <alignment vertical="top" wrapText="1"/>
    </xf>
    <xf numFmtId="0" fontId="38" fillId="14" borderId="0" xfId="0" applyFont="1" applyFill="1" applyAlignment="1">
      <alignment vertical="top" wrapText="1"/>
    </xf>
    <xf numFmtId="0" fontId="1" fillId="0" borderId="8" xfId="1" applyBorder="1" applyAlignment="1">
      <alignment vertical="top"/>
    </xf>
    <xf numFmtId="0" fontId="44" fillId="0" borderId="0" xfId="1" applyFont="1" applyAlignment="1" applyProtection="1">
      <alignment vertical="top" wrapText="1"/>
    </xf>
    <xf numFmtId="0" fontId="8" fillId="14" borderId="0" xfId="0" applyFont="1" applyFill="1" applyAlignment="1">
      <alignment vertical="top" wrapText="1"/>
    </xf>
    <xf numFmtId="0" fontId="8" fillId="0" borderId="0" xfId="0" applyFont="1"/>
    <xf numFmtId="0" fontId="44" fillId="0" borderId="0" xfId="1" applyFont="1" applyAlignment="1">
      <alignment vertical="top" wrapText="1"/>
    </xf>
    <xf numFmtId="0" fontId="24" fillId="7" borderId="3" xfId="0" applyFont="1" applyFill="1" applyBorder="1" applyAlignment="1">
      <alignment vertical="top" wrapText="1"/>
    </xf>
    <xf numFmtId="0" fontId="0" fillId="13" borderId="0" xfId="0" applyFill="1" applyAlignment="1">
      <alignment vertical="top" wrapText="1"/>
    </xf>
    <xf numFmtId="0" fontId="0" fillId="0" borderId="10" xfId="0" applyBorder="1"/>
    <xf numFmtId="0" fontId="36" fillId="13" borderId="0" xfId="0" applyFont="1" applyFill="1" applyAlignment="1">
      <alignment wrapText="1"/>
    </xf>
    <xf numFmtId="0" fontId="46" fillId="0" borderId="0" xfId="0" applyFont="1" applyAlignment="1">
      <alignment vertical="top" wrapText="1"/>
    </xf>
    <xf numFmtId="0" fontId="38" fillId="6" borderId="0" xfId="0" applyFont="1" applyFill="1" applyAlignment="1">
      <alignment vertical="top" wrapText="1"/>
    </xf>
    <xf numFmtId="0" fontId="8" fillId="6" borderId="0" xfId="0" applyFont="1" applyFill="1" applyAlignment="1">
      <alignment vertical="top" wrapText="1"/>
    </xf>
    <xf numFmtId="0" fontId="3" fillId="6" borderId="0" xfId="0" applyFont="1" applyFill="1" applyAlignment="1">
      <alignment vertical="top" wrapText="1"/>
    </xf>
    <xf numFmtId="0" fontId="47" fillId="6" borderId="0" xfId="0" applyFont="1" applyFill="1" applyAlignment="1">
      <alignment vertical="top" wrapText="1"/>
    </xf>
    <xf numFmtId="0" fontId="0" fillId="6" borderId="0" xfId="0" applyFill="1" applyAlignment="1">
      <alignment vertical="top" wrapText="1"/>
    </xf>
    <xf numFmtId="0" fontId="0" fillId="0" borderId="10" xfId="0" applyBorder="1" applyAlignment="1">
      <alignment vertical="top" wrapText="1"/>
    </xf>
    <xf numFmtId="0" fontId="1" fillId="7" borderId="3" xfId="1" applyFill="1" applyBorder="1" applyAlignment="1" applyProtection="1">
      <alignment vertical="top" wrapText="1"/>
    </xf>
    <xf numFmtId="0" fontId="52" fillId="0" borderId="0" xfId="0" applyFont="1" applyAlignment="1">
      <alignment vertical="top" wrapText="1"/>
    </xf>
    <xf numFmtId="0" fontId="53" fillId="0" borderId="0" xfId="0" applyFont="1" applyAlignment="1">
      <alignment vertical="top" wrapText="1"/>
    </xf>
    <xf numFmtId="0" fontId="53" fillId="14" borderId="0" xfId="0" applyFont="1" applyFill="1" applyAlignment="1">
      <alignment vertical="top" wrapText="1"/>
    </xf>
    <xf numFmtId="0" fontId="54" fillId="14" borderId="0" xfId="0" applyFont="1" applyFill="1" applyAlignment="1">
      <alignment vertical="top" wrapText="1"/>
    </xf>
    <xf numFmtId="0" fontId="54" fillId="0" borderId="0" xfId="0" applyFont="1" applyAlignment="1">
      <alignment vertical="top" wrapText="1"/>
    </xf>
  </cellXfs>
  <cellStyles count="2">
    <cellStyle name="Hyperlink" xfId="1" xr:uid="{00000000-000B-0000-0000-000008000000}"/>
    <cellStyle name="Normal" xfId="0" builtinId="0"/>
  </cellStyles>
  <dxfs count="57">
    <dxf>
      <alignment vertical="top"/>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theme="2"/>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protection locked="1" hidden="0"/>
    </dxf>
    <dxf>
      <font>
        <b val="0"/>
        <i val="0"/>
        <strike val="0"/>
        <condense val="0"/>
        <extend val="0"/>
        <outline val="0"/>
        <shadow val="0"/>
        <u/>
        <vertAlign val="baseline"/>
        <sz val="11"/>
        <color theme="10"/>
        <name val="Aptos Narrow"/>
        <family val="2"/>
        <scheme val="minor"/>
      </font>
      <alignment horizontal="general" vertical="top" textRotation="0" wrapText="1" indent="0" justifyLastLine="0" shrinkToFit="0" readingOrder="0"/>
      <protection locked="1" hidden="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bottom style="thin">
          <color auto="1"/>
        </bottom>
      </border>
    </dxf>
    <dxf>
      <border outline="0">
        <top style="thin">
          <color auto="1"/>
        </top>
      </border>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242424"/>
        <name val="Aptos Narrow"/>
        <charset val="1"/>
        <scheme val="none"/>
      </font>
      <fill>
        <patternFill patternType="solid">
          <fgColor theme="7" tint="0.79998168889431442"/>
          <bgColor theme="7" tint="0.79998168889431442"/>
        </patternFill>
      </fill>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1"/>
        <color rgb="FF000000"/>
        <name val="Aptos Narrow"/>
        <scheme val="none"/>
      </font>
    </dxf>
    <dxf>
      <font>
        <b val="0"/>
        <i val="0"/>
        <strike val="0"/>
        <condense val="0"/>
        <extend val="0"/>
        <outline val="0"/>
        <shadow val="0"/>
        <u val="none"/>
        <vertAlign val="baseline"/>
        <sz val="11"/>
        <color rgb="FF000000"/>
        <name val="Aptos Narrow"/>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ldal, Birgit" id="{7FF05F78-4511-4F10-8E83-1F4B501785A6}" userId="S::MELDAB@pfizer.com::df67f9e3-e1f0-4d89-a974-9fc54a38a931" providerId="AD"/>
  <person displayName="Reynares, Emiliano" id="{D91DB3BB-36A3-4E25-AAAE-DCBB2D4443B2}" userId="S::emiliano.reynares@iqvia.com::d0046b60-d688-4f82-b81d-181200cb7ae3" providerId="AD"/>
  <person displayName="Giovanni Nisato" id="{D47116F8-B5E8-4AAE-A035-0ADAD821C8C8}" userId="S::giovanni.nisato@pistoiaalliance.org::b54b25d5-2d81-4512-a6a7-8a50480a875d" providerId="AD"/>
  <person displayName="Despoina Sousoni" id="{5CE63A07-D55C-4723-BEE2-03036CA6BF10}" userId="S::sousoni_ebi.ac.uk#ext#@pistoiaallianceorg.onmicrosoft.com::25362a56-993f-4578-b2a5-41bd10cf6617" providerId="AD"/>
  <person displayName="Gajula, Tara Kumar" id="{D24B0253-DD91-44B3-B62D-874D2A754855}" userId="S::tarakumar.gajula_takeda.com#ext#@pistoiaallianceorg.onmicrosoft.com::420be64b-d166-4535-ae42-ec96de9ce8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940317-52B1-45E2-BE31-10F40C0E6E25}" name="Table2" displayName="Table2" ref="B2:G21" totalsRowShown="0">
  <autoFilter ref="B2:G21" xr:uid="{DA940317-52B1-45E2-BE31-10F40C0E6E25}"/>
  <sortState xmlns:xlrd2="http://schemas.microsoft.com/office/spreadsheetml/2017/richdata2" ref="B3:G21">
    <sortCondition ref="D2:D21"/>
  </sortState>
  <tableColumns count="6">
    <tableColumn id="1" xr3:uid="{9A59EA0F-BE93-4841-9DE3-D33EF7D0299B}" name="Name" dataDxfId="56"/>
    <tableColumn id="4" xr3:uid="{63ED2F7D-A115-4F27-B64D-75A53E7CBBFA}" name="Last/Family_Name" dataDxfId="55"/>
    <tableColumn id="6" xr3:uid="{DEFFDEEA-A014-47FA-8BD7-E655562FAA37}" name="Organisation" dataDxfId="54"/>
    <tableColumn id="2" xr3:uid="{A563E563-BB76-4D5C-9DDE-A34113F0AD45}" name="ORCID"/>
    <tableColumn id="3" xr3:uid="{2AA7393A-73A5-451D-8492-2D47AE4CD5DA}" name="comments"/>
    <tableColumn id="5" xr3:uid="{A02DF5D0-F8A0-482A-ADCE-D739F71EDA37}" name="Initials"/>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E328B6-FDAD-4E9B-B451-E549A8DAB899}" name="Table3" displayName="Table3" ref="A2:T36" totalsRowShown="0" headerRowDxfId="53" dataDxfId="52" headerRowBorderDxfId="50" tableBorderDxfId="51">
  <autoFilter ref="A2:T36" xr:uid="{17E328B6-FDAD-4E9B-B451-E549A8DAB899}"/>
  <sortState xmlns:xlrd2="http://schemas.microsoft.com/office/spreadsheetml/2017/richdata2" ref="A3:T36">
    <sortCondition ref="A2:A36"/>
  </sortState>
  <tableColumns count="20">
    <tableColumn id="16" xr3:uid="{BD31DB61-56FD-4C11-AD97-7F323B85D6AA}" name="FAIRMM-link-MD" dataDxfId="48" totalsRowDxfId="49"/>
    <tableColumn id="1" xr3:uid="{0D270AB4-45BF-4E72-948F-8CFB57017B9E}" name="Label_persona" dataDxfId="46" totalsRowDxfId="47"/>
    <tableColumn id="17" xr3:uid="{1EDC28FB-67B2-45B8-8B83-71922904B305}" name="Primary data role producer/enabler/consumer" dataDxfId="44" totalsRowDxfId="45"/>
    <tableColumn id="2" xr3:uid="{F6AFA40A-0796-4B72-B092-D53DD92C0631}" name="description_of_role" dataDxfId="42" totalsRowDxfId="43"/>
    <tableColumn id="3" xr3:uid="{9694EB66-E00E-420B-937C-31B8AB57E87F}" name="Contributors" totalsRowDxfId="41"/>
    <tableColumn id="4" xr3:uid="{64EADC03-DA6A-424A-8CCD-7A5EE01EDE07}" name="Source URL/URI" dataDxfId="39" totalsRowDxfId="40" dataCellStyle="Hyperlink"/>
    <tableColumn id="5" xr3:uid="{29E666FA-3485-4595-B2EF-DA2FFB69F6FD}" name="Synonyms" dataDxfId="37" totalsRowDxfId="38"/>
    <tableColumn id="6" xr3:uid="{34E63299-3ECC-494B-B06E-ED9FB0A48614}" name="Related persona" dataDxfId="35" totalsRowDxfId="36"/>
    <tableColumn id="7" xr3:uid="{A402890F-2E91-4F92-9E45-7F6A415BC027}" name="Notes on usage, relation to other roles or personas" dataDxfId="33" totalsRowDxfId="34"/>
    <tableColumn id="8" xr3:uid="{44583B11-76EE-4294-B078-4B5F1486D0DA}" name="FAIRMM-version" totalsRowDxfId="32"/>
    <tableColumn id="9" xr3:uid="{2E06313A-F09E-490D-A550-CD219CA7BC6B}" name="Persona_tasks" dataDxfId="30" totalsRowDxfId="31"/>
    <tableColumn id="10" xr3:uid="{BE9EBB78-3270-479F-9F97-023128691C37}" name="Issues_latent_gains_draft" dataDxfId="28" totalsRowDxfId="29"/>
    <tableColumn id="11" xr3:uid="{E6CD8818-EE94-4837-B3BE-90C4354045BA}" name="Potential_FAIR_benefits_Narrative" dataDxfId="26" totalsRowDxfId="27"/>
    <tableColumn id="12" xr3:uid="{48F2B8D4-9B47-45C3-B7C6-A7CCF96D19E4}" name="Editing comments - Must have/ nice to have / park for the moment" dataDxfId="24" totalsRowDxfId="25"/>
    <tableColumn id="13" xr3:uid="{D4E40BC5-0C9F-4F31-A26C-4E4D8773BACB}" name="Issues_Latent_gains__Final" dataDxfId="22" totalsRowDxfId="23"/>
    <tableColumn id="14" xr3:uid="{7F9F9AB4-D966-42D9-889F-4D8C9545D0A0}" name="Specific-FAIR_benefits_" dataDxfId="20" totalsRowDxfId="21"/>
    <tableColumn id="15" xr3:uid="{8BA49D40-5653-41AC-B527-CA3DAD99A1C3}" name="Expert_recommendation_comment"/>
    <tableColumn id="18" xr3:uid="{E04CD28E-09DA-464F-9C2D-7CCB271A0328}" name="notes" dataDxfId="18" totalsRowDxfId="19"/>
    <tableColumn id="19" xr3:uid="{F029C389-1F1F-45E2-830E-1BF2C57A4B48}" name="notes2" dataDxfId="16" totalsRowDxfId="17"/>
    <tableColumn id="20" xr3:uid="{40DDE3CE-E2C1-478F-90AD-4F3AA9A46A6E}" name="notes3" dataDxfId="14" totalsRowDxfId="15"/>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5BD521-9F26-412B-AADC-DBA73FFBB417}" name="Table22" displayName="Table22" ref="A15:L52" totalsRowShown="0" headerRowDxfId="13" dataDxfId="12">
  <autoFilter ref="A15:L52" xr:uid="{205BD521-9F26-412B-AADC-DBA73FFBB417}"/>
  <sortState xmlns:xlrd2="http://schemas.microsoft.com/office/spreadsheetml/2017/richdata2" ref="A16:L52">
    <sortCondition ref="A15:A52"/>
  </sortState>
  <tableColumns count="12">
    <tableColumn id="1" xr3:uid="{8B04B171-BF15-45D4-8230-3A3152645E22}" name="Label_persona" dataDxfId="11"/>
    <tableColumn id="2" xr3:uid="{D76C8586-84EF-4044-85A7-E3013B665441}" name="description_of_role" dataDxfId="10"/>
    <tableColumn id="7" xr3:uid="{B86FD641-775C-47C0-ABB2-0C299C5AE889}" name="Content_Added_by" dataDxfId="9"/>
    <tableColumn id="3" xr3:uid="{BDA2F83D-08BA-4EF9-8E72-46D6BD3B3A07}" name="Source URL/URI" dataDxfId="8"/>
    <tableColumn id="4" xr3:uid="{4B22BD20-447B-4718-90A6-89D647BCB2CF}" name="Synonyms" dataDxfId="7"/>
    <tableColumn id="5" xr3:uid="{4BDFE869-3BCC-45C6-807A-096F3789911C}" name="Related persona" dataDxfId="6"/>
    <tableColumn id="9" xr3:uid="{4A9BDCA3-378C-4FB9-9766-F8A98CD6F376}" name="Notes on usage, relation to other roles or personas" dataDxfId="5"/>
    <tableColumn id="6" xr3:uid="{F2F54DA8-3E5C-4830-94A4-83F0F6274C3A}" name="FAIRMM version" dataDxfId="4"/>
    <tableColumn id="8" xr3:uid="{C1D7411B-F371-49F9-8ADC-8EE50FA9041D}" name="Persona_tasks" dataDxfId="3"/>
    <tableColumn id="10" xr3:uid="{B431ADD3-453B-4877-9C5C-AE5A9DCC5D16}" name="Issues_latent_gains" dataDxfId="2"/>
    <tableColumn id="11" xr3:uid="{E9B96114-60EF-40D8-967A-58918ED6E066}" name="Potential_FAIR_benefits" dataDxfId="1"/>
    <tableColumn id="12" xr3:uid="{3FA50C83-AC85-4E29-8654-35071CC6A8E1}" name="Must have/ nice to have / park for the moment"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 dT="2025-11-20T04:45:03.51" personId="{D24B0253-DD91-44B3-B62D-874D2A754855}" id="{F4A97ADC-7EEF-452F-AC7B-DF77301AD99D}">
    <text>Added row 31 and 32 comments by TKG</text>
  </threadedComment>
  <threadedComment ref="G3" dT="2025-09-17T10:04:25.68" personId="{7FF05F78-4511-4F10-8E83-1F4B501785A6}" id="{E60A3FB9-7B0C-47E4-8C61-44E77A8E458A}">
    <text>Data modeller is a bit more specific, isn’t it? Some BIs might have a background in modelling and do more of this as a BI.</text>
  </threadedComment>
  <threadedComment ref="H3" dT="2025-09-17T10:04:44.36" personId="{7FF05F78-4511-4F10-8E83-1F4B501785A6}" id="{0383EAB9-F09E-452F-B02C-0A15C53C338E}">
    <text>Anyone really!</text>
  </threadedComment>
  <threadedComment ref="H4" dT="2025-09-17T10:05:59.17" personId="{7FF05F78-4511-4F10-8E83-1F4B501785A6}" id="{A55579DA-9969-46D0-9E45-0A7CE41998B5}">
    <text>Data Standards and Governance Expert, Project Manager</text>
  </threadedComment>
  <threadedComment ref="H5" dT="2025-09-17T10:08:20.50" personId="{7FF05F78-4511-4F10-8E83-1F4B501785A6}" id="{2A3DD7C8-5BA9-4BD1-BC03-513ECB62A3E4}">
    <text>Data Steward</text>
  </threadedComment>
  <threadedComment ref="G6" dT="2025-09-17T10:09:36.61" personId="{7FF05F78-4511-4F10-8E83-1F4B501785A6}" id="{F8EDCB85-202F-431E-BCAA-722D6C32A636}">
    <text>Def says non-training data scientist so data scientist shouldn’t be a synonym.</text>
  </threadedComment>
  <threadedComment ref="H6" dT="2025-09-17T10:10:29.49" personId="{7FF05F78-4511-4F10-8E83-1F4B501785A6}" id="{182A50C2-5DE8-42C5-A4E8-30F58A8D9CD6}">
    <text>Potentially: data stewards, data owners</text>
  </threadedComment>
  <threadedComment ref="H7" dT="2025-09-17T10:10:54.11" personId="{7FF05F78-4511-4F10-8E83-1F4B501785A6}" id="{F150D4B1-3991-479B-B63C-4886A92608AE}">
    <text>Data Steward</text>
  </threadedComment>
  <threadedComment ref="H8" dT="2025-09-17T10:12:08.72" personId="{7FF05F78-4511-4F10-8E83-1F4B501785A6}" id="{A8B5AFB8-9A99-4592-81F7-0785EF6A2DCD}">
    <text>Data owner, business owner, data architect, data quality manager, researcher, SME, data engineer - there weren’t many roles I didn’t interact with as a curators.</text>
  </threadedComment>
  <threadedComment ref="H9" dT="2025-09-17T10:16:14.21" personId="{7FF05F78-4511-4F10-8E83-1F4B501785A6}" id="{70EBC13F-88D4-4021-8F89-86EA421C6575}">
    <text>Data quality manager, business owner, researcher, SME</text>
  </threadedComment>
  <threadedComment ref="H10" dT="2025-09-17T10:19:03.42" personId="{7FF05F78-4511-4F10-8E83-1F4B501785A6}" id="{88C14870-C0E2-4177-80B5-49C65CDB140F}">
    <text>Business owner</text>
  </threadedComment>
  <threadedComment ref="H13" dT="2025-09-17T10:19:55.67" personId="{7FF05F78-4511-4F10-8E83-1F4B501785A6}" id="{6EA18472-E076-432B-BED1-50FE62121590}">
    <text>Ideally everyone!</text>
  </threadedComment>
  <threadedComment ref="H14" dT="2025-09-17T10:20:25.97" personId="{7FF05F78-4511-4F10-8E83-1F4B501785A6}" id="{C7E69D6A-7CC1-4300-9759-39373FF7C94D}">
    <text>Business owner, data architect</text>
  </threadedComment>
  <threadedComment ref="H15" dT="2025-09-17T10:20:47.13" personId="{7FF05F78-4511-4F10-8E83-1F4B501785A6}" id="{1EE25689-BE8F-4749-95AD-A9E2F75395F0}">
    <text>Data governance lead</text>
  </threadedComment>
  <threadedComment ref="H16" dT="2025-09-17T10:01:25.91" personId="{7FF05F78-4511-4F10-8E83-1F4B501785A6}" id="{D86CE817-8CD6-4B70-9CA9-B8301DE364DE}">
    <text>Anyone can be a member of the CoP!</text>
  </threadedComment>
  <threadedComment ref="H17" dT="2025-09-17T10:00:12.17" personId="{7FF05F78-4511-4F10-8E83-1F4B501785A6}" id="{C5C427C5-C8A4-490C-88EC-25A8C7671D32}">
    <text>2 types of personas: the “SMEs” who provide the content for the training and the “SMEs” who are the trainees. Could be many personas from this list.</text>
  </threadedComment>
  <threadedComment ref="G19" dT="2025-09-17T10:26:35.15" personId="{7FF05F78-4511-4F10-8E83-1F4B501785A6}" id="{E144A689-24C8-494B-8323-6181C519D82F}">
    <text>RDM and MDM are different, not synonyms</text>
  </threadedComment>
  <threadedComment ref="H19" dT="2025-09-17T10:24:20.30" personId="{7FF05F78-4511-4F10-8E83-1F4B501785A6}" id="{031D602F-4C72-4683-A19B-DD4972706898}">
    <text>Ontologist, data architect, data engineer</text>
  </threadedComment>
  <threadedComment ref="H20" dT="2025-09-17T10:25:21.09" personId="{7FF05F78-4511-4F10-8E83-1F4B501785A6}" id="{7D683230-B6AE-47E0-A5BA-C898874195E9}">
    <text>Master data manager, data owner, ressearcher</text>
  </threadedComment>
  <threadedComment ref="H21" dT="2025-09-17T10:25:57.10" personId="{7FF05F78-4511-4F10-8E83-1F4B501785A6}" id="{2B382FF7-A8A4-4838-96B5-9096DDA6BD5B}">
    <text>Business leader</text>
  </threadedComment>
  <threadedComment ref="H22" dT="2025-09-17T10:24:35.88" personId="{7FF05F78-4511-4F10-8E83-1F4B501785A6}" id="{AF2520FE-E79C-42A8-8764-27FD6126D109}">
    <text>data architect, data engineer</text>
  </threadedComment>
  <threadedComment ref="H23" dT="2025-09-17T10:30:43.06" personId="{7FF05F78-4511-4F10-8E83-1F4B501785A6}" id="{95DAF0AF-0C74-4AB4-8ED1-8BAA0A0BFF71}">
    <text>Data owner, legal, compliance, risk managers</text>
  </threadedComment>
  <threadedComment ref="H24" dT="2025-09-17T10:31:28.38" personId="{7FF05F78-4511-4F10-8E83-1F4B501785A6}" id="{DF5681ED-B0AD-4F7D-858B-109E98C7F3AA}">
    <text>Data owner, curator, ontologist</text>
  </threadedComment>
  <threadedComment ref="H25" dT="2025-09-17T10:32:13.94" personId="{7FF05F78-4511-4F10-8E83-1F4B501785A6}" id="{8F89E221-F297-485E-9ED1-E6C770BB674A}">
    <text>Lab manager</text>
  </threadedComment>
  <threadedComment ref="H27" dT="2025-09-17T10:18:37.81" personId="{7FF05F78-4511-4F10-8E83-1F4B501785A6}" id="{6C0468CF-8D88-4A11-A3D9-C3517CD8A355}">
    <text>Data owner, business owner, data quality manager, data governance?</text>
  </threadedComment>
  <threadedComment ref="H29" dT="2025-09-17T09:57:22.23" personId="{7FF05F78-4511-4F10-8E83-1F4B501785A6}" id="{7A4B8323-68D7-4E72-81CB-41377659CFB1}">
    <text>Potentially works with anyone in this table; esp anyone with “data” in their title.</text>
  </threadedComment>
  <threadedComment ref="G30" dT="2025-09-17T10:29:14.83" personId="{7FF05F78-4511-4F10-8E83-1F4B501785A6}" id="{C9E2503D-43DF-41AE-BC72-9583C46AA634}">
    <text>Aren’t these different personas that can be held by the same person dep on their actual responsibilities?</text>
  </threadedComment>
  <threadedComment ref="G31" dT="2025-09-17T10:27:34.91" personId="{7FF05F78-4511-4F10-8E83-1F4B501785A6}" id="{D5113274-1005-4732-88BF-08315EE1CE3B}">
    <text>Are they more related rather than synonyms? Data protection officer is a separate persona.</text>
  </threadedComment>
  <threadedComment ref="H31" dT="2025-09-17T10:22:31.71" personId="{7FF05F78-4511-4F10-8E83-1F4B501785A6}" id="{D67AF1EE-97AD-4CD4-9DDA-494E8C3B55D3}">
    <text>Business owner, data strategy owner, data integration expert, data protection expert</text>
  </threadedComment>
  <threadedComment ref="H32" dT="2025-09-17T10:02:52.45" personId="{7FF05F78-4511-4F10-8E83-1F4B501785A6}" id="{0DC778D4-1868-47A5-AC52-C1C3E71965CE}">
    <text>Data owner, business owner, SME</text>
  </threadedComment>
  <threadedComment ref="H33" dT="2025-09-17T10:02:21.89" personId="{7FF05F78-4511-4F10-8E83-1F4B501785A6}" id="{E939F280-564B-4F39-B054-BDA8BEF75630}">
    <text>Data Owner, SME</text>
  </threadedComment>
  <threadedComment ref="G35" dT="2025-09-17T10:26:35.15" personId="{7FF05F78-4511-4F10-8E83-1F4B501785A6}" id="{F166787B-CB48-4919-A5FE-578C2913BE24}">
    <text>RDM and MDM are different, not synonyms</text>
  </threadedComment>
  <threadedComment ref="H35" dT="2025-09-17T10:24:20.30" personId="{7FF05F78-4511-4F10-8E83-1F4B501785A6}" id="{1C687820-C8C6-480D-A2C2-8BE016B1CB72}">
    <text>Ontologist, data architect, data engineer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5-08-07T09:07:14.33" personId="{5CE63A07-D55C-4723-BEE2-03036CA6BF10}" id="{146A26E7-79EB-4320-91DF-DA2CFA2D8921}">
    <text>Some suggestions: Have you considered "data champions"? Its a term used for members of research groups which do have some data management tasks within the group, but they are not really officially recognized. Its very beneficial for building RDM network.
And Legal office(r)? When talking about R in fair, they come in. The same as Technology and Transfer officer / Patent office, IP office, etc...</text>
  </threadedComment>
  <threadedComment ref="G29" dT="2025-08-13T13:01:41.80" personId="{D91DB3BB-36A3-4E25-AAAE-DCBB2D4443B2}" id="{29A7D146-D5AF-4426-A8C0-319318DF070F}">
    <text>SME as CDS, enabled by AI developments</text>
  </threadedComment>
  <threadedComment ref="F41" dT="2025-08-13T13:34:19.22" personId="{D91DB3BB-36A3-4E25-AAAE-DCBB2D4443B2}" id="{9D13DBD2-7E14-4DBE-9D90-31B4AABB7273}">
    <text>We should check consistency, i.e.: if A is related to B, B should be related to A.</text>
  </threadedComment>
  <threadedComment ref="I41" dT="2025-08-13T13:33:25.71" personId="{D47116F8-B5E8-4AAE-A035-0ADAD821C8C8}" id="{B36649A0-E2D2-4EFC-805E-B050B1CA817A}">
    <text>it helps to refer to other roles in this table (e.g. what does "tech" mean?)</text>
  </threadedComment>
  <threadedComment ref="A42" dT="2025-08-07T08:57:12.35" personId="{5CE63A07-D55C-4723-BEE2-03036CA6BF10}" id="{96A9EE86-C4D6-447E-85F6-50ED8C8DB086}">
    <text>Depending on the maturity, there may be more types of data stewards. 
In case of low maturity, just "data steward" is enough. Tasks of such person are more related to data governance (data governor?). Mission of this person is rather increase the maturity level than work with data.
Independently of this "organizational" role, there is the "project data steward". Usually time limited with a mission to coordinate RDM activities with project partners and (local) data management systems. I have even seen grant proposals defining this role. Kinda data manager. Commonly, this role is different from project manager. You could call it data manager but its not precise.
often, in academia, the term "data manager" is used as a synonym - though technically, I think, this is wrong. Data management to me means working relational databases.</text>
  </threadedComment>
  <threadedComment ref="K42" dT="2025-08-07T09:06:34.10" personId="{5CE63A07-D55C-4723-BEE2-03036CA6BF10}" id="{E4D885EE-156C-4574-B7B2-4C07C0D915E8}">
    <text>end-to-end stewardship (management of entire data lifecycle https://rdmkit.elixir-europe.org/data_life_cycle). Also single point of contact for data.</text>
    <extLst>
      <x:ext xmlns:xltc2="http://schemas.microsoft.com/office/spreadsheetml/2020/threadedcomments2" uri="{F7C98A9C-CBB3-438F-8F68-D28B6AF4A901}">
        <xltc2:checksum>3054143970</xltc2:checksum>
        <xltc2:hyperlink startIndex="60" length="48" url="https://www.google.com/url?q=https://rdmkit.elixir-europe.org/data_life_cycle&amp;sa=D&amp;source=editors&amp;ust=1754487679781438&amp;usg=AOvVaw2C43U29GSkjhgJdji0AhK-"/>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orcid.org/0009-0006-0072-7148" TargetMode="External"/><Relationship Id="rId3" Type="http://schemas.openxmlformats.org/officeDocument/2006/relationships/hyperlink" Target="https://orcid.org/0009-0004-6207-0773" TargetMode="External"/><Relationship Id="rId7" Type="http://schemas.openxmlformats.org/officeDocument/2006/relationships/hyperlink" Target="https://orcid.org/0000-0003-1386-0731" TargetMode="External"/><Relationship Id="rId2" Type="http://schemas.openxmlformats.org/officeDocument/2006/relationships/hyperlink" Target="https://orcid.org/0000-0002-8997-5298" TargetMode="External"/><Relationship Id="rId1" Type="http://schemas.openxmlformats.org/officeDocument/2006/relationships/hyperlink" Target="https://orcid.org/0000-0002-5824-0061" TargetMode="External"/><Relationship Id="rId6" Type="http://schemas.openxmlformats.org/officeDocument/2006/relationships/hyperlink" Target="https://orcid.org/0000-0002-7553-6569" TargetMode="External"/><Relationship Id="rId5" Type="http://schemas.openxmlformats.org/officeDocument/2006/relationships/hyperlink" Target="https://orcid.org/0000-0003-4062-6158" TargetMode="External"/><Relationship Id="rId10" Type="http://schemas.openxmlformats.org/officeDocument/2006/relationships/table" Target="../tables/table1.xml"/><Relationship Id="rId4" Type="http://schemas.openxmlformats.org/officeDocument/2006/relationships/hyperlink" Target="https://orcid.org/0009-0005-8204-6655" TargetMode="External"/><Relationship Id="rId9" Type="http://schemas.openxmlformats.org/officeDocument/2006/relationships/hyperlink" Target="https://0009-0007-6684-260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fair.org/fair-principles/a1-2-protocol-allows-authentication-authorisation-required/" TargetMode="External"/><Relationship Id="rId13" Type="http://schemas.openxmlformats.org/officeDocument/2006/relationships/hyperlink" Target="https://www.go-fair.org/fair-principles/r1-metadata-richly-described-plurality-accurate-relevant-attributes/" TargetMode="External"/><Relationship Id="rId3" Type="http://schemas.openxmlformats.org/officeDocument/2006/relationships/hyperlink" Target="https://www.go-fair.org/fair-principles/fair-data-principles-explained/f2-data-described-rich-metadata/" TargetMode="External"/><Relationship Id="rId7" Type="http://schemas.openxmlformats.org/officeDocument/2006/relationships/hyperlink" Target="https://www.go-fair.org/fair-principles/a1-1-protocol-open-free-universally-implementable/" TargetMode="External"/><Relationship Id="rId12" Type="http://schemas.openxmlformats.org/officeDocument/2006/relationships/hyperlink" Target="https://www.go-fair.org/fair-principles/i3-metadata-include-qualified-references-metadata/" TargetMode="External"/><Relationship Id="rId17" Type="http://schemas.openxmlformats.org/officeDocument/2006/relationships/hyperlink" Target="https://www.go-fair.org/fair-principles/" TargetMode="External"/><Relationship Id="rId2" Type="http://schemas.openxmlformats.org/officeDocument/2006/relationships/hyperlink" Target="https://www.go-fair.org/fair-principles/fair-data-principles-explained/f1-meta-data-assigned-globally-unique-persistent-identifiers/" TargetMode="External"/><Relationship Id="rId16" Type="http://schemas.openxmlformats.org/officeDocument/2006/relationships/hyperlink" Target="https://www.go-fair.org/fair-principles/r1-3-metadata-meet-domain-relevant-community-standards/" TargetMode="External"/><Relationship Id="rId1" Type="http://schemas.openxmlformats.org/officeDocument/2006/relationships/hyperlink" Target="https://www.go-fair.org/fair-principles/fairification-process/" TargetMode="External"/><Relationship Id="rId6" Type="http://schemas.openxmlformats.org/officeDocument/2006/relationships/hyperlink" Target="https://www.go-fair.org/fair-principles/542-2/" TargetMode="External"/><Relationship Id="rId11" Type="http://schemas.openxmlformats.org/officeDocument/2006/relationships/hyperlink" Target="https://www.go-fair.org/fair-principles/i2-metadata-use-vocabularies-follow-fair-principles/" TargetMode="External"/><Relationship Id="rId5" Type="http://schemas.openxmlformats.org/officeDocument/2006/relationships/hyperlink" Target="https://www.go-fair.org/fair-principles/f4-metadata-registered-indexed-searchable-resource/" TargetMode="External"/><Relationship Id="rId15" Type="http://schemas.openxmlformats.org/officeDocument/2006/relationships/hyperlink" Target="https://www.go-fair.org/fair-principles/r1-2-metadata-associated-detailed-provenance/" TargetMode="External"/><Relationship Id="rId10" Type="http://schemas.openxmlformats.org/officeDocument/2006/relationships/hyperlink" Target="https://www.go-fair.org/fair-principles/i1-metadata-use-formal-accessible-shared-broadly-applicable-language-knowledge-representation/" TargetMode="External"/><Relationship Id="rId4" Type="http://schemas.openxmlformats.org/officeDocument/2006/relationships/hyperlink" Target="https://www.go-fair.org/fair-principles/f3-metadata-clearly-explicitly-include-identifier-data-describe/" TargetMode="External"/><Relationship Id="rId9" Type="http://schemas.openxmlformats.org/officeDocument/2006/relationships/hyperlink" Target="https://www.go-fair.org/fair-principles/a2-metadata-accessible-even-data-no-longer-available/" TargetMode="External"/><Relationship Id="rId14" Type="http://schemas.openxmlformats.org/officeDocument/2006/relationships/hyperlink" Target="https://www.go-fair.org/fair-principles/r1-1-metadata-released-clear-accessible-data-usage-licens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giovanni.nisato@pistoiaalliance.org%20/%20Debashree%20Chakrabarti" TargetMode="External"/><Relationship Id="rId21" Type="http://schemas.openxmlformats.org/officeDocument/2006/relationships/hyperlink" Target="mailto:khrl@novonordisk.com%20AD" TargetMode="External"/><Relationship Id="rId42" Type="http://schemas.openxmlformats.org/officeDocument/2006/relationships/hyperlink" Target="https://github.com/PistoiaAlliance/FAIRMaturityMatrix/blob/FAIR-MM-V1.2/FAIR_personas/Clinical_Data_Manager.md" TargetMode="External"/><Relationship Id="rId47" Type="http://schemas.openxmlformats.org/officeDocument/2006/relationships/hyperlink" Target="https://pistoiaalliance.github.io/FAIRMaturityMatrix/" TargetMode="External"/><Relationship Id="rId63" Type="http://schemas.openxmlformats.org/officeDocument/2006/relationships/hyperlink" Target="https://github.com/PistoiaAlliance/FAIRMaturityMatrix/edit/FAIR-MM-V1.2/FAIR_personas/Data_Engineer.md" TargetMode="External"/><Relationship Id="rId68" Type="http://schemas.openxmlformats.org/officeDocument/2006/relationships/vmlDrawing" Target="../drawings/vmlDrawing1.vml"/><Relationship Id="rId7" Type="http://schemas.openxmlformats.org/officeDocument/2006/relationships/hyperlink" Target="https://pistoiaalliance.github.io/FAIRMaturityMatrix/resources_lexicon" TargetMode="External"/><Relationship Id="rId71" Type="http://schemas.microsoft.com/office/2017/10/relationships/threadedComment" Target="../threadedComments/threadedComment1.xml"/><Relationship Id="rId2" Type="http://schemas.openxmlformats.org/officeDocument/2006/relationships/hyperlink" Target="https://the-turing-way.netlify.app/collaboration/research-infrastructure-roles/community-manager.html%0a%0a%0ahttps:/pistoiaalliance.github.io/FAIRMaturityMatrix/resources_lexicon" TargetMode="External"/><Relationship Id="rId16" Type="http://schemas.openxmlformats.org/officeDocument/2006/relationships/hyperlink" Target="mailto:giovanni.nisato@pistoiaalliance.org" TargetMode="External"/><Relationship Id="rId29" Type="http://schemas.openxmlformats.org/officeDocument/2006/relationships/hyperlink" Target="https://www.wikidata.org/wiki/Q104659813" TargetMode="External"/><Relationship Id="rId11" Type="http://schemas.openxmlformats.org/officeDocument/2006/relationships/hyperlink" Target="https://cio-wiki.org/wiki/Reference_Data_Management_%28RDM%29" TargetMode="External"/><Relationship Id="rId24" Type="http://schemas.openxmlformats.org/officeDocument/2006/relationships/hyperlink" Target="mailto:giovanni.nisato@pistoiaalliance.org%20%20/%20Kathleen%20Rand" TargetMode="External"/><Relationship Id="rId32" Type="http://schemas.openxmlformats.org/officeDocument/2006/relationships/hyperlink" Target="https://github.com/PistoiaAlliance/FAIRMaturityMatrix/edit/FAIR-MM-V1.2/FAIR_personas/FAIR_Data_Architect.md" TargetMode="External"/><Relationship Id="rId37" Type="http://schemas.openxmlformats.org/officeDocument/2006/relationships/hyperlink" Target="https://github.com/PistoiaAlliance/FAIRMaturityMatrix/blob/FAIR-MM-V1.2/FAIR_personas/Subject_Matter_Expert.md" TargetMode="External"/><Relationship Id="rId40" Type="http://schemas.openxmlformats.org/officeDocument/2006/relationships/hyperlink" Target="https://github.com/PistoiaAlliance/FAIRMaturityMatrix/blob/FAIR-MM-V1.2/FAIR_personas/Data_Steward.md" TargetMode="External"/><Relationship Id="rId45" Type="http://schemas.openxmlformats.org/officeDocument/2006/relationships/hyperlink" Target="https://pistoiaalliance.github.io/FAIRMaturityMatrix/" TargetMode="External"/><Relationship Id="rId53" Type="http://schemas.openxmlformats.org/officeDocument/2006/relationships/hyperlink" Target="https://github.com/PistoiaAlliance/FAIRMaturityMatrix/blob/FAIR-MM-V1.2/FAIR_personas/FAIR_Trainer.md" TargetMode="External"/><Relationship Id="rId58" Type="http://schemas.openxmlformats.org/officeDocument/2006/relationships/hyperlink" Target="https://www.gartner.com/en/data-analytics/topics/master-data-management" TargetMode="External"/><Relationship Id="rId66" Type="http://schemas.openxmlformats.org/officeDocument/2006/relationships/hyperlink" Target="https://github.com/PistoiaAlliance/FAIRMaturityMatrix/edit/FAIR-MM-V1.2/FAIR_personas/Data_Quality_Manager.md" TargetMode="External"/><Relationship Id="rId5" Type="http://schemas.openxmlformats.org/officeDocument/2006/relationships/hyperlink" Target="https://pistoiaalliance.github.io/FAIRMaturityMatrix/resources_lexicon" TargetMode="External"/><Relationship Id="rId61" Type="http://schemas.openxmlformats.org/officeDocument/2006/relationships/hyperlink" Target="https://github.com/PistoiaAlliance/FAIRMaturityMatrix/blob/FAIR-MM-V1.2/FAIR_personas/Data_Strategy_Owner.md" TargetMode="External"/><Relationship Id="rId19" Type="http://schemas.openxmlformats.org/officeDocument/2006/relationships/hyperlink" Target="mailto:giovanni.nisato@pistoiaalliance.org" TargetMode="External"/><Relationship Id="rId14" Type="http://schemas.openxmlformats.org/officeDocument/2006/relationships/hyperlink" Target="https://www.wikidata.org/wiki/Q2589465%0a%20%0ahttps:/en.wikipedia.org/wiki/Chief_digital_officer" TargetMode="External"/><Relationship Id="rId22" Type="http://schemas.openxmlformats.org/officeDocument/2006/relationships/hyperlink" Target="mailto:giovanni.nisato@pistoiaalliance.org" TargetMode="External"/><Relationship Id="rId27" Type="http://schemas.openxmlformats.org/officeDocument/2006/relationships/hyperlink" Target="mailto:giovanni.nisato@pistoiaalliance.org%20/%20&#8288;Sharma,%20Ranu" TargetMode="External"/><Relationship Id="rId30" Type="http://schemas.openxmlformats.org/officeDocument/2006/relationships/hyperlink" Target="https://www.wikidata.org/wiki/Q2552738" TargetMode="External"/><Relationship Id="rId35" Type="http://schemas.openxmlformats.org/officeDocument/2006/relationships/hyperlink" Target="https://github.com/PistoiaAlliance/FAIRMaturityMatrix/blob/FAIR-MM-V1.2/FAIR_personas/Business_Leader.md" TargetMode="External"/><Relationship Id="rId43" Type="http://schemas.openxmlformats.org/officeDocument/2006/relationships/hyperlink" Target="https://pistoiaalliance.github.io/FAIRMaturityMatrix/" TargetMode="External"/><Relationship Id="rId48" Type="http://schemas.openxmlformats.org/officeDocument/2006/relationships/hyperlink" Target="https://pistoiaalliance.github.io/FAIRMaturityMatrix/" TargetMode="External"/><Relationship Id="rId56" Type="http://schemas.openxmlformats.org/officeDocument/2006/relationships/hyperlink" Target="https://github.com/PistoiaAlliance/FAIRMaturityMatrix/blob/FAIR-MM-V1.2/FAIR_personas/Business_Owner.md" TargetMode="External"/><Relationship Id="rId64" Type="http://schemas.openxmlformats.org/officeDocument/2006/relationships/hyperlink" Target="https://github.com/PistoiaAlliance/FAIRMaturityMatrix/edit/FAIR-MM-V1.2/FAIR_personas/Data_Integration_Specialist.md" TargetMode="External"/><Relationship Id="rId69" Type="http://schemas.openxmlformats.org/officeDocument/2006/relationships/table" Target="../tables/table2.xml"/><Relationship Id="rId8" Type="http://schemas.openxmlformats.org/officeDocument/2006/relationships/hyperlink" Target="https://pistoiaalliance.github.io/FAIRMaturityMatrix/resources_lexicon%0a%0ahttps:/www.knowledgescientist.org/%20%7bto%20double%20check%7d" TargetMode="External"/><Relationship Id="rId51" Type="http://schemas.openxmlformats.org/officeDocument/2006/relationships/hyperlink" Target="https://github.com/PistoiaAlliance/FAIRMaturityMatrix/edit/FAIR-MM-V1.2/FAIR_personas/Knowledge-Enabled_Citizen.md" TargetMode="External"/><Relationship Id="rId3" Type="http://schemas.openxmlformats.org/officeDocument/2006/relationships/hyperlink" Target="http://purl.obolibrary.org/obo/NCIT_C165769%0ahttps:/careers.slas.org/career/bioinformatics-analyst" TargetMode="External"/><Relationship Id="rId12" Type="http://schemas.openxmlformats.org/officeDocument/2006/relationships/hyperlink" Target="https://pistoiaalliance.github.io/FAIRMaturityMatrix/resources_lexicon" TargetMode="External"/><Relationship Id="rId17" Type="http://schemas.openxmlformats.org/officeDocument/2006/relationships/hyperlink" Target="mailto:khrl@novonordisk.com" TargetMode="External"/><Relationship Id="rId25" Type="http://schemas.openxmlformats.org/officeDocument/2006/relationships/hyperlink" Target="mailto:giovanni.nisato@pistoiaalliance.org/%20Kathleen%20Rand/Philippe%20Rocca-Serra" TargetMode="External"/><Relationship Id="rId33" Type="http://schemas.openxmlformats.org/officeDocument/2006/relationships/hyperlink" Target="https://github.com/PistoiaAlliance/FAIRMaturityMatrix/blob/FAIR-MM-V1.2/FAIR_personas/Curator.md" TargetMode="External"/><Relationship Id="rId38" Type="http://schemas.openxmlformats.org/officeDocument/2006/relationships/hyperlink" Target="https://github.com/PistoiaAlliance/FAIRMaturityMatrix/blob/FAIR-MM-V1.2/FAIR_personas/Ontologist.md" TargetMode="External"/><Relationship Id="rId46" Type="http://schemas.openxmlformats.org/officeDocument/2006/relationships/hyperlink" Target="https://pistoiaalliance.github.io/FAIRMaturityMatrix/" TargetMode="External"/><Relationship Id="rId59" Type="http://schemas.openxmlformats.org/officeDocument/2006/relationships/hyperlink" Target="https://github.com/PistoiaAlliance/FAIRMaturityMatrix/blob/FAIR-MM-V1.2/FAIR_personas/Data_Owner.md" TargetMode="External"/><Relationship Id="rId67" Type="http://schemas.openxmlformats.org/officeDocument/2006/relationships/hyperlink" Target="https://github.com/PistoiaAlliance/FAIRMaturityMatrix/blob/FAIR-MM-V1.2/FAIR_personas/Master_Data_Manager.md" TargetMode="External"/><Relationship Id="rId20" Type="http://schemas.openxmlformats.org/officeDocument/2006/relationships/hyperlink" Target="mailto:giovanni.nisato@pistoiaalliance.org" TargetMode="External"/><Relationship Id="rId41" Type="http://schemas.openxmlformats.org/officeDocument/2006/relationships/hyperlink" Target="https://github.com/PistoiaAlliance/FAIRMaturityMatrix/blob/FAIR-MM-V1.2/FAIR_personas/Data_Scientist.md" TargetMode="External"/><Relationship Id="rId54" Type="http://schemas.openxmlformats.org/officeDocument/2006/relationships/hyperlink" Target="https://github.com/PistoiaAlliance/FAIRMaturityMatrix/blob/FAIR-MM-V1.2/FAIR_personas/Lab_manager.md" TargetMode="External"/><Relationship Id="rId62" Type="http://schemas.openxmlformats.org/officeDocument/2006/relationships/hyperlink" Target="https://github.com/PistoiaAlliance/FAIRMaturityMatrix/blob/FAIR-MM-V1.2/FAIR_personas/Data_Analyst.md" TargetMode="External"/><Relationship Id="rId70" Type="http://schemas.openxmlformats.org/officeDocument/2006/relationships/comments" Target="../comments1.xml"/><Relationship Id="rId1" Type="http://schemas.openxmlformats.org/officeDocument/2006/relationships/hyperlink" Target="https://pistoiaalliance.github.io/FAIRMaturityMatrix/resources_lexicon" TargetMode="External"/><Relationship Id="rId6" Type="http://schemas.openxmlformats.org/officeDocument/2006/relationships/hyperlink" Target="https://datamanagement.wiki/role/data_owner%0ahttps:/www.gov.uk/government/publications/essential-shared-data-assets-and-data-ownership-in-government/data-ownership-in-government-html" TargetMode="External"/><Relationship Id="rId15" Type="http://schemas.openxmlformats.org/officeDocument/2006/relationships/hyperlink" Target="mailto:giovanni.nisato@pistoiaalliance.org/%20Nalini&#160;Mehta/Baptiste%20Tauzin" TargetMode="External"/><Relationship Id="rId23" Type="http://schemas.openxmlformats.org/officeDocument/2006/relationships/hyperlink" Target="mailto:giovanni.nisato@pistoiaalliance.org/%20Emiliano%20Reynares" TargetMode="External"/><Relationship Id="rId28" Type="http://schemas.openxmlformats.org/officeDocument/2006/relationships/hyperlink" Target="https://www.wikidata.org/wiki/Q77293133" TargetMode="External"/><Relationship Id="rId36" Type="http://schemas.openxmlformats.org/officeDocument/2006/relationships/hyperlink" Target="https://github.com/PistoiaAlliance/FAIRMaturityMatrix/blob/FAIR-MM-V1.2/FAIR_personas/Technology_Leader.md" TargetMode="External"/><Relationship Id="rId49" Type="http://schemas.openxmlformats.org/officeDocument/2006/relationships/hyperlink" Target="https://github.com/PistoiaAlliance/FAIRMaturityMatrix/blob/FAIR-MM-V1.2/FAIR_personas/Business_analyst.md" TargetMode="External"/><Relationship Id="rId57" Type="http://schemas.openxmlformats.org/officeDocument/2006/relationships/hyperlink" Target="https://github.com/PistoiaAlliance/FAIRMaturityMatrix/blob/FAIR-MM-V1.2/FAIR_personas/Data_Standards_and_Governance_Expert.md" TargetMode="External"/><Relationship Id="rId10" Type="http://schemas.openxmlformats.org/officeDocument/2006/relationships/hyperlink" Target="https://pistoiaalliance.github.io/FAIRMaturityMatrix/resources_lexicon" TargetMode="External"/><Relationship Id="rId31" Type="http://schemas.openxmlformats.org/officeDocument/2006/relationships/hyperlink" Target="https://www.wikidata.org/wiki/Q1149029" TargetMode="External"/><Relationship Id="rId44" Type="http://schemas.openxmlformats.org/officeDocument/2006/relationships/hyperlink" Target="https://pistoiaalliance.github.io/FAIRMaturityMatrix/" TargetMode="External"/><Relationship Id="rId52" Type="http://schemas.openxmlformats.org/officeDocument/2006/relationships/hyperlink" Target="https://github.com/PistoiaAlliance/FAIRMaturityMatrix/blob/FAIR-MM-V1.2/FAIR_personas/FAIR_Community_Manager.md" TargetMode="External"/><Relationship Id="rId60" Type="http://schemas.openxmlformats.org/officeDocument/2006/relationships/hyperlink" Target="https://github.com/PistoiaAlliance/FAIRMaturityMatrix/blob/FAIR-MM-V1.2/FAIR_personas/Reference_Data_Manager.md" TargetMode="External"/><Relationship Id="rId65" Type="http://schemas.openxmlformats.org/officeDocument/2006/relationships/hyperlink" Target="https://github.com/PistoiaAlliance/FAIRMaturityMatrix/blob/FAIR-MM-V1.2/FAIR_personas/Data_Protection_Officer.md" TargetMode="External"/><Relationship Id="rId4" Type="http://schemas.openxmlformats.org/officeDocument/2006/relationships/hyperlink" Target="https://www.wikidata.org/wiki/Q484876" TargetMode="External"/><Relationship Id="rId9" Type="http://schemas.openxmlformats.org/officeDocument/2006/relationships/hyperlink" Target="https://en.wikipedia.org/wiki/Laboratory_manager" TargetMode="External"/><Relationship Id="rId13" Type="http://schemas.openxmlformats.org/officeDocument/2006/relationships/hyperlink" Target="https://pistoiaalliance.github.io/FAIRMaturityMatrix/resources_lexicon" TargetMode="External"/><Relationship Id="rId18" Type="http://schemas.openxmlformats.org/officeDocument/2006/relationships/hyperlink" Target="mailto:giovanni.nisato@pistoiaalliance.org/%20Emiliano%20Reynares%20/%20Debashree%20Chakrabarti" TargetMode="External"/><Relationship Id="rId39" Type="http://schemas.openxmlformats.org/officeDocument/2006/relationships/hyperlink" Target="https://github.com/PistoiaAlliance/FAIRMaturityMatrix/blob/FAIR-MM-V1.2/FAIR_personas/Project_Manager.md" TargetMode="External"/><Relationship Id="rId34" Type="http://schemas.openxmlformats.org/officeDocument/2006/relationships/hyperlink" Target="https://github.com/PistoiaAlliance/FAIRMaturityMatrix/blob/FAIR-MM-V1.2/FAIR_personas/Researcher.md" TargetMode="External"/><Relationship Id="rId50" Type="http://schemas.openxmlformats.org/officeDocument/2006/relationships/hyperlink" Target="https://github.com/PistoiaAlliance/FAIRMaturityMatrix/blob/FAIR-MM-V1.2/FAIR_personas/Citizen_Data_Scientist.md" TargetMode="External"/><Relationship Id="rId55" Type="http://schemas.openxmlformats.org/officeDocument/2006/relationships/hyperlink" Target="https://github.com/PistoiaAlliance/FAIRMaturityMatrix/tree/FAIR-MM-V1.2/FAIR_personas"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giovanni.nisato@pistoiaalliance.org" TargetMode="External"/><Relationship Id="rId18" Type="http://schemas.openxmlformats.org/officeDocument/2006/relationships/hyperlink" Target="https://pistoiaalliance.github.io/FAIRMaturityMatrix/" TargetMode="External"/><Relationship Id="rId26" Type="http://schemas.openxmlformats.org/officeDocument/2006/relationships/hyperlink" Target="https://pistoiaalliance.github.io/FAIRMaturityMatrix/" TargetMode="External"/><Relationship Id="rId39" Type="http://schemas.openxmlformats.org/officeDocument/2006/relationships/hyperlink" Target="https://pistoiaalliance.github.io/FAIRMaturityMatrix/" TargetMode="External"/><Relationship Id="rId21" Type="http://schemas.openxmlformats.org/officeDocument/2006/relationships/hyperlink" Target="mailto:giovanni.nisato@pistoiaalliance.org/%20Nalini&#160;Mehta/Baptiste%20Tauzin" TargetMode="External"/><Relationship Id="rId34" Type="http://schemas.openxmlformats.org/officeDocument/2006/relationships/hyperlink" Target="https://pistoiaalliance.github.io/FAIRMaturityMatrix/resources_lexicon" TargetMode="External"/><Relationship Id="rId42" Type="http://schemas.openxmlformats.org/officeDocument/2006/relationships/hyperlink" Target="https://pistoiaalliance.github.io/FAIRMaturityMatrix/resources_lexicon" TargetMode="External"/><Relationship Id="rId47" Type="http://schemas.openxmlformats.org/officeDocument/2006/relationships/hyperlink" Target="mailto:giovanni.nisato@pistoiaalliance.org" TargetMode="External"/><Relationship Id="rId50" Type="http://schemas.openxmlformats.org/officeDocument/2006/relationships/hyperlink" Target="https://orcid.org/0000-0002-8997-5298" TargetMode="External"/><Relationship Id="rId55" Type="http://schemas.openxmlformats.org/officeDocument/2006/relationships/table" Target="../tables/table3.xml"/><Relationship Id="rId7" Type="http://schemas.openxmlformats.org/officeDocument/2006/relationships/hyperlink" Target="https://www.wikidata.org/wiki/Q2589465" TargetMode="External"/><Relationship Id="rId2" Type="http://schemas.openxmlformats.org/officeDocument/2006/relationships/hyperlink" Target="mailto:giovanni.nisato@pistoiaalliance.org" TargetMode="External"/><Relationship Id="rId16" Type="http://schemas.openxmlformats.org/officeDocument/2006/relationships/hyperlink" Target="mailto:giovanni.nisato@pistoiaalliance.org" TargetMode="External"/><Relationship Id="rId29" Type="http://schemas.openxmlformats.org/officeDocument/2006/relationships/hyperlink" Target="https://pistoiaalliance.github.io/FAIRMaturityMatrix/resources_lexicon" TargetMode="External"/><Relationship Id="rId11" Type="http://schemas.openxmlformats.org/officeDocument/2006/relationships/hyperlink" Target="mailto:giovanni.nisato@pistoiaalliance.org" TargetMode="External"/><Relationship Id="rId24" Type="http://schemas.openxmlformats.org/officeDocument/2006/relationships/hyperlink" Target="mailto:giovanni.nisato@pistoiaalliance.org" TargetMode="External"/><Relationship Id="rId32" Type="http://schemas.openxmlformats.org/officeDocument/2006/relationships/hyperlink" Target="https://pistoiaalliance.github.io/FAIRMaturityMatrix/resources_lexicon" TargetMode="External"/><Relationship Id="rId37" Type="http://schemas.openxmlformats.org/officeDocument/2006/relationships/hyperlink" Target="mailto:giovanni.nisato@pistoiaalliance.org/%20Kathleen%20Rand/Philippe%20Rocca-Serra" TargetMode="External"/><Relationship Id="rId40" Type="http://schemas.openxmlformats.org/officeDocument/2006/relationships/hyperlink" Target="https://cio-wiki.org/wiki/Reference_Data_Management_%28RDM%29" TargetMode="External"/><Relationship Id="rId45" Type="http://schemas.openxmlformats.org/officeDocument/2006/relationships/hyperlink" Target="https://pistoiaalliance.github.io/FAIRMaturityMatrix/resources_lexicon" TargetMode="External"/><Relationship Id="rId53" Type="http://schemas.openxmlformats.org/officeDocument/2006/relationships/hyperlink" Target="https://www.pmi.org/about/what-is-a-project-manager" TargetMode="External"/><Relationship Id="rId5" Type="http://schemas.openxmlformats.org/officeDocument/2006/relationships/hyperlink" Target="https://www.wikidata.org/wiki/Q484876" TargetMode="External"/><Relationship Id="rId19" Type="http://schemas.openxmlformats.org/officeDocument/2006/relationships/hyperlink" Target="mailto:giovanni.nisato@pistoiaalliance.org" TargetMode="External"/><Relationship Id="rId4" Type="http://schemas.openxmlformats.org/officeDocument/2006/relationships/hyperlink" Target="https://pistoiaalliance.github.io/FAIRMaturityMatrix/" TargetMode="External"/><Relationship Id="rId9" Type="http://schemas.openxmlformats.org/officeDocument/2006/relationships/hyperlink" Target="https://pistoiaalliance.github.io/FAIRMaturityMatrix/resources_lexicon" TargetMode="External"/><Relationship Id="rId14" Type="http://schemas.openxmlformats.org/officeDocument/2006/relationships/hyperlink" Target="https://pistoiaalliance.github.io/FAIRMaturityMatrix/resources_lexicon" TargetMode="External"/><Relationship Id="rId22" Type="http://schemas.openxmlformats.org/officeDocument/2006/relationships/hyperlink" Target="https://pistoiaalliance.github.io/FAIRMaturityMatrix/resources_lexicon" TargetMode="External"/><Relationship Id="rId27" Type="http://schemas.openxmlformats.org/officeDocument/2006/relationships/hyperlink" Target="mailto:giovanni.nisato@pistoiaalliance.org/%20Emiliano%20Reynares" TargetMode="External"/><Relationship Id="rId30" Type="http://schemas.openxmlformats.org/officeDocument/2006/relationships/hyperlink" Target="https://pistoiaalliance.github.io/FAIRMaturityMatrix/" TargetMode="External"/><Relationship Id="rId35" Type="http://schemas.openxmlformats.org/officeDocument/2006/relationships/hyperlink" Target="https://pistoiaalliance.github.io/FAIRMaturityMatrix/" TargetMode="External"/><Relationship Id="rId43" Type="http://schemas.openxmlformats.org/officeDocument/2006/relationships/hyperlink" Target="https://pistoiaalliance.github.io/FAIRMaturityMatrix/" TargetMode="External"/><Relationship Id="rId48" Type="http://schemas.openxmlformats.org/officeDocument/2006/relationships/hyperlink" Target="https://orcid.org/0000-0002-5824-0061" TargetMode="External"/><Relationship Id="rId56" Type="http://schemas.openxmlformats.org/officeDocument/2006/relationships/comments" Target="../comments2.xml"/><Relationship Id="rId8" Type="http://schemas.openxmlformats.org/officeDocument/2006/relationships/hyperlink" Target="mailto:giovanni.nisato@pistoiaalliance.org/%20Emiliano%20Reynares%20/%20Debashree%20Chakrabarti" TargetMode="External"/><Relationship Id="rId51" Type="http://schemas.openxmlformats.org/officeDocument/2006/relationships/hyperlink" Target="https://orcid.org/0009-0004-6207-0773" TargetMode="External"/><Relationship Id="rId3" Type="http://schemas.openxmlformats.org/officeDocument/2006/relationships/hyperlink" Target="https://pistoiaalliance.github.io/FAIRMaturityMatrix/resources_lexicon" TargetMode="External"/><Relationship Id="rId12" Type="http://schemas.openxmlformats.org/officeDocument/2006/relationships/hyperlink" Target="https://the-turing-way.netlify.app/collaboration/research-infrastructure-roles/community-manager.html" TargetMode="External"/><Relationship Id="rId17" Type="http://schemas.openxmlformats.org/officeDocument/2006/relationships/hyperlink" Target="https://pistoiaalliance.github.io/FAIRMaturityMatrix/resources_lexicon" TargetMode="External"/><Relationship Id="rId25" Type="http://schemas.openxmlformats.org/officeDocument/2006/relationships/hyperlink" Target="https://pistoiaalliance.github.io/FAIRMaturityMatrix/resources_lexicon" TargetMode="External"/><Relationship Id="rId33" Type="http://schemas.openxmlformats.org/officeDocument/2006/relationships/hyperlink" Target="https://pistoiaalliance.github.io/FAIRMaturityMatrix/" TargetMode="External"/><Relationship Id="rId38" Type="http://schemas.openxmlformats.org/officeDocument/2006/relationships/hyperlink" Target="https://pistoiaalliance.github.io/FAIRMaturityMatrix/resources_lexicon" TargetMode="External"/><Relationship Id="rId46" Type="http://schemas.openxmlformats.org/officeDocument/2006/relationships/hyperlink" Target="https://pistoiaalliance.github.io/FAIRMaturityMatrix/" TargetMode="External"/><Relationship Id="rId20" Type="http://schemas.openxmlformats.org/officeDocument/2006/relationships/hyperlink" Target="mailto:khrl@novonordisk.com%20AD" TargetMode="External"/><Relationship Id="rId41" Type="http://schemas.openxmlformats.org/officeDocument/2006/relationships/hyperlink" Target="mailto:giovanni.nisato@pistoiaalliance.org%20/%20Debashree%20Chakrabarti" TargetMode="External"/><Relationship Id="rId54" Type="http://schemas.openxmlformats.org/officeDocument/2006/relationships/vmlDrawing" Target="../drawings/vmlDrawing2.vml"/><Relationship Id="rId1" Type="http://schemas.openxmlformats.org/officeDocument/2006/relationships/hyperlink" Target="mailto:khrl@novonordisk.com" TargetMode="External"/><Relationship Id="rId6" Type="http://schemas.openxmlformats.org/officeDocument/2006/relationships/hyperlink" Target="https://en.wikipedia.org/wiki/Chief_digital_officer" TargetMode="External"/><Relationship Id="rId15" Type="http://schemas.openxmlformats.org/officeDocument/2006/relationships/hyperlink" Target="https://pistoiaalliance.github.io/FAIRMaturityMatrix/" TargetMode="External"/><Relationship Id="rId23" Type="http://schemas.openxmlformats.org/officeDocument/2006/relationships/hyperlink" Target="https://pistoiaalliance.github.io/FAIRMaturityMatrix/" TargetMode="External"/><Relationship Id="rId28" Type="http://schemas.openxmlformats.org/officeDocument/2006/relationships/hyperlink" Target="mailto:giovanni.nisato@pistoiaalliance.org%20%20/%20Kathleen%20Rand" TargetMode="External"/><Relationship Id="rId36" Type="http://schemas.openxmlformats.org/officeDocument/2006/relationships/hyperlink" Target="https://en.wikipedia.org/wiki/Laboratory_manager" TargetMode="External"/><Relationship Id="rId49" Type="http://schemas.openxmlformats.org/officeDocument/2006/relationships/hyperlink" Target="https://orcid.org/0009-0005-8204-6655" TargetMode="External"/><Relationship Id="rId57" Type="http://schemas.microsoft.com/office/2017/10/relationships/threadedComment" Target="../threadedComments/threadedComment2.xml"/><Relationship Id="rId10" Type="http://schemas.openxmlformats.org/officeDocument/2006/relationships/hyperlink" Target="https://pistoiaalliance.github.io/FAIRMaturityMatrix/" TargetMode="External"/><Relationship Id="rId31" Type="http://schemas.openxmlformats.org/officeDocument/2006/relationships/hyperlink" Target="mailto:giovanni.nisato@pistoiaalliance.org/%20Nalini&#160;Mehta" TargetMode="External"/><Relationship Id="rId44" Type="http://schemas.openxmlformats.org/officeDocument/2006/relationships/hyperlink" Target="mailto:giovanni.nisato@pistoiaalliance.org%20/%20&#8288;Sharma,%20Ranu" TargetMode="External"/><Relationship Id="rId52" Type="http://schemas.openxmlformats.org/officeDocument/2006/relationships/hyperlink" Target="https://ccrps.org/clinical-research-blog/what-is-a-clinical-data-manag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github.com/PistoiaAlliance/FAIRMaturityMatrix/edit/FAIR-MM-V1.2/FAIR_personas/Business_Owner.md" TargetMode="External"/><Relationship Id="rId1" Type="http://schemas.openxmlformats.org/officeDocument/2006/relationships/hyperlink" Target="https://pistoiaalliance.github.io/FAIRMaturityMatrix/FAIR_personas/"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github.com/PistoiaAlliance/FAIRMaturityMatrix/tree/FAIR-MM-V1.2/FAIR_personas" TargetMode="External"/><Relationship Id="rId1" Type="http://schemas.openxmlformats.org/officeDocument/2006/relationships/hyperlink" Target="https://pistoiaalliance.github.io/FAIRMaturityMatrix/FAIR_persona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github.com/PistoiaAlliance/FAIRMaturityMatrix/edit/FAIR-MM-V1.2/FAIR_personas/Knowledge-Enabled_Citizen.md" TargetMode="External"/><Relationship Id="rId1" Type="http://schemas.openxmlformats.org/officeDocument/2006/relationships/hyperlink" Target="https://pistoiaalliance.github.io/FAIRMaturityMatrix/FAIR_persona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Business_analyst.md" TargetMode="External"/><Relationship Id="rId1" Type="http://schemas.openxmlformats.org/officeDocument/2006/relationships/hyperlink" Target="https://pistoiaalliance.github.io/FAIRMaturityMatrix/FAIR_personas/"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Project_Manager.md" TargetMode="External"/><Relationship Id="rId1" Type="http://schemas.openxmlformats.org/officeDocument/2006/relationships/hyperlink" Target="https://pistoiaalliance.github.io/FAIRMaturityMatrix/FAIR_personas/"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Project_Manager.md" TargetMode="External"/><Relationship Id="rId1" Type="http://schemas.openxmlformats.org/officeDocument/2006/relationships/hyperlink" Target="https://pistoiaalliance.github.io/FAIRMaturityMatrix/FAIR_personas/"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Project_Manager.md" TargetMode="External"/><Relationship Id="rId1" Type="http://schemas.openxmlformats.org/officeDocument/2006/relationships/hyperlink" Target="https://pistoiaalliance.github.io/FAIRMaturityMatrix/FAIR_personas/"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Project_Manager.md" TargetMode="External"/><Relationship Id="rId1" Type="http://schemas.openxmlformats.org/officeDocument/2006/relationships/hyperlink" Target="https://pistoiaalliance.github.io/FAIRMaturityMatrix/FAIR_personas/"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Business_Leader.md" TargetMode="External"/><Relationship Id="rId1" Type="http://schemas.openxmlformats.org/officeDocument/2006/relationships/hyperlink" Target="https://pistoiaalliance.github.io/FAIRMaturityMatrix/FAIR_personas/"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Curator.md" TargetMode="External"/><Relationship Id="rId1" Type="http://schemas.openxmlformats.org/officeDocument/2006/relationships/hyperlink" Target="https://pistoiaalliance.github.io/FAIRMaturityMatrix/FAIR_personas/"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github.com/PistoiaAlliance/FAIRMaturityMatrix/blob/FAIR-MM-V1.2/FAIR_personas/Curator.md" TargetMode="External"/><Relationship Id="rId1" Type="http://schemas.openxmlformats.org/officeDocument/2006/relationships/hyperlink" Target="https://pistoiaalliance.github.io/FAIRMaturityMatrix/FAIR_personas/"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pistoiaalliance.github.io/FAIRMaturityMatrix/FAIR_personas/"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www.linkedin.com/jobs/view/4207798372/" TargetMode="External"/><Relationship Id="rId3" Type="http://schemas.openxmlformats.org/officeDocument/2006/relationships/hyperlink" Target="mailto:thomas.herz@boehringer-ingelheim.com" TargetMode="External"/><Relationship Id="rId7" Type="http://schemas.openxmlformats.org/officeDocument/2006/relationships/hyperlink" Target="mailto:chris.day@perdl.com" TargetMode="External"/><Relationship Id="rId2" Type="http://schemas.openxmlformats.org/officeDocument/2006/relationships/hyperlink" Target="https://orcid.org/0000-0002-5824-0061" TargetMode="External"/><Relationship Id="rId1" Type="http://schemas.openxmlformats.org/officeDocument/2006/relationships/hyperlink" Target="mailto:giovanni.nisato@pistoiaalliance.org" TargetMode="External"/><Relationship Id="rId6" Type="http://schemas.openxmlformats.org/officeDocument/2006/relationships/hyperlink" Target="https://jobs.syngenta.com/job/fair-data-lead-in-various-jid-3877" TargetMode="External"/><Relationship Id="rId5" Type="http://schemas.openxmlformats.org/officeDocument/2006/relationships/hyperlink" Target="mailto:chris.day@perdl.com" TargetMode="External"/><Relationship Id="rId4" Type="http://schemas.openxmlformats.org/officeDocument/2006/relationships/hyperlink" Target="mailto:phil.r.blake@gsk.com" TargetMode="External"/><Relationship Id="rId9" Type="http://schemas.openxmlformats.org/officeDocument/2006/relationships/hyperlink" Target="https://www.linkedin.com/jobs/view/42077983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5BEC1-C339-468C-84F9-6D9DDB73B3B3}">
  <dimension ref="A1:H21"/>
  <sheetViews>
    <sheetView tabSelected="1" workbookViewId="0">
      <selection activeCell="E20" sqref="E20"/>
    </sheetView>
  </sheetViews>
  <sheetFormatPr defaultRowHeight="15"/>
  <cols>
    <col min="2" max="2" width="32.28515625" customWidth="1"/>
    <col min="3" max="3" width="42.42578125" customWidth="1"/>
    <col min="4" max="4" width="40.7109375" customWidth="1"/>
    <col min="5" max="5" width="32.7109375" customWidth="1"/>
  </cols>
  <sheetData>
    <row r="1" spans="1:8">
      <c r="A1" s="22" t="s">
        <v>0</v>
      </c>
      <c r="C1" s="2"/>
      <c r="D1" s="1"/>
    </row>
    <row r="2" spans="1:8" ht="29.25">
      <c r="A2" s="22"/>
      <c r="B2" s="55" t="s">
        <v>1</v>
      </c>
      <c r="C2" s="55" t="s">
        <v>2</v>
      </c>
      <c r="D2" s="54" t="s">
        <v>3</v>
      </c>
      <c r="E2" s="54" t="s">
        <v>4</v>
      </c>
      <c r="F2" s="54" t="s">
        <v>5</v>
      </c>
      <c r="G2" s="55" t="s">
        <v>6</v>
      </c>
      <c r="H2" s="55"/>
    </row>
    <row r="3" spans="1:8" ht="29.25">
      <c r="A3" s="55"/>
      <c r="B3" s="58" t="s">
        <v>7</v>
      </c>
      <c r="C3" s="58" t="s">
        <v>8</v>
      </c>
      <c r="D3" s="53" t="s">
        <v>9</v>
      </c>
      <c r="E3" s="68" t="s">
        <v>10</v>
      </c>
      <c r="F3" s="53"/>
      <c r="G3" t="s">
        <v>11</v>
      </c>
    </row>
    <row r="4" spans="1:8">
      <c r="A4" s="55"/>
      <c r="B4" s="58" t="s">
        <v>12</v>
      </c>
      <c r="C4" s="69" t="s">
        <v>13</v>
      </c>
      <c r="D4" s="115" t="s">
        <v>14</v>
      </c>
      <c r="E4" s="70" t="s">
        <v>15</v>
      </c>
      <c r="G4" t="s">
        <v>16</v>
      </c>
    </row>
    <row r="5" spans="1:8">
      <c r="A5" s="55"/>
      <c r="B5" s="14" t="s">
        <v>17</v>
      </c>
      <c r="C5" s="69" t="s">
        <v>18</v>
      </c>
      <c r="D5" t="s">
        <v>19</v>
      </c>
      <c r="E5" s="70" t="s">
        <v>15</v>
      </c>
      <c r="G5" t="s">
        <v>20</v>
      </c>
    </row>
    <row r="6" spans="1:8">
      <c r="A6" s="4"/>
      <c r="B6" s="58" t="s">
        <v>21</v>
      </c>
      <c r="C6" s="69" t="s">
        <v>22</v>
      </c>
      <c r="D6" t="s">
        <v>23</v>
      </c>
      <c r="E6" s="70" t="s">
        <v>15</v>
      </c>
      <c r="G6" t="s">
        <v>24</v>
      </c>
    </row>
    <row r="7" spans="1:8">
      <c r="A7" s="4"/>
      <c r="B7" s="14" t="s">
        <v>25</v>
      </c>
      <c r="C7" s="69" t="s">
        <v>26</v>
      </c>
      <c r="D7" s="53" t="s">
        <v>27</v>
      </c>
      <c r="E7" s="70" t="s">
        <v>15</v>
      </c>
      <c r="F7" s="53"/>
      <c r="G7" t="s">
        <v>28</v>
      </c>
    </row>
    <row r="8" spans="1:8" ht="29.25">
      <c r="A8" s="4"/>
      <c r="B8" s="14" t="s">
        <v>29</v>
      </c>
      <c r="C8" s="69" t="s">
        <v>30</v>
      </c>
      <c r="D8" s="8" t="s">
        <v>31</v>
      </c>
      <c r="E8" s="68" t="s">
        <v>32</v>
      </c>
      <c r="F8" s="8"/>
      <c r="G8" t="s">
        <v>33</v>
      </c>
    </row>
    <row r="9" spans="1:8">
      <c r="A9" s="4"/>
      <c r="B9" s="58" t="s">
        <v>34</v>
      </c>
      <c r="C9" s="69" t="s">
        <v>35</v>
      </c>
      <c r="D9" t="s">
        <v>36</v>
      </c>
      <c r="E9" s="67" t="s">
        <v>37</v>
      </c>
      <c r="G9" t="s">
        <v>38</v>
      </c>
    </row>
    <row r="10" spans="1:8">
      <c r="A10" s="4"/>
      <c r="B10" s="14" t="s">
        <v>39</v>
      </c>
      <c r="C10" s="69" t="s">
        <v>40</v>
      </c>
      <c r="D10" s="53" t="s">
        <v>41</v>
      </c>
      <c r="E10" s="56" t="s">
        <v>42</v>
      </c>
      <c r="F10" s="53"/>
      <c r="G10" t="s">
        <v>43</v>
      </c>
    </row>
    <row r="11" spans="1:8">
      <c r="A11" s="4"/>
      <c r="B11" s="58" t="s">
        <v>44</v>
      </c>
      <c r="C11" s="58" t="s">
        <v>45</v>
      </c>
      <c r="D11" s="116" t="s">
        <v>46</v>
      </c>
      <c r="E11" s="68"/>
      <c r="F11" s="53"/>
    </row>
    <row r="12" spans="1:8">
      <c r="A12" s="4"/>
      <c r="B12" s="58" t="s">
        <v>47</v>
      </c>
      <c r="C12" s="58" t="s">
        <v>48</v>
      </c>
      <c r="D12" s="53" t="s">
        <v>49</v>
      </c>
      <c r="E12" s="56" t="s">
        <v>50</v>
      </c>
      <c r="F12" s="53"/>
      <c r="G12" t="s">
        <v>51</v>
      </c>
    </row>
    <row r="13" spans="1:8">
      <c r="A13" s="4"/>
      <c r="B13" s="58" t="s">
        <v>52</v>
      </c>
      <c r="C13" s="69" t="s">
        <v>53</v>
      </c>
      <c r="D13" s="53" t="s">
        <v>54</v>
      </c>
      <c r="E13" s="56" t="s">
        <v>55</v>
      </c>
      <c r="F13" s="53"/>
      <c r="G13" t="s">
        <v>56</v>
      </c>
    </row>
    <row r="14" spans="1:8">
      <c r="B14" s="58" t="s">
        <v>57</v>
      </c>
      <c r="C14" s="69" t="s">
        <v>58</v>
      </c>
      <c r="D14" t="s">
        <v>59</v>
      </c>
      <c r="E14" s="70" t="s">
        <v>15</v>
      </c>
      <c r="G14" t="s">
        <v>60</v>
      </c>
    </row>
    <row r="15" spans="1:8">
      <c r="B15" s="14" t="s">
        <v>61</v>
      </c>
      <c r="C15" s="14" t="s">
        <v>62</v>
      </c>
      <c r="D15" t="s">
        <v>63</v>
      </c>
      <c r="E15" s="70" t="s">
        <v>15</v>
      </c>
      <c r="G15" s="69" t="s">
        <v>64</v>
      </c>
    </row>
    <row r="16" spans="1:8">
      <c r="B16" s="14" t="s">
        <v>65</v>
      </c>
      <c r="C16" s="69" t="s">
        <v>66</v>
      </c>
      <c r="D16" t="s">
        <v>67</v>
      </c>
      <c r="E16" s="70" t="s">
        <v>15</v>
      </c>
      <c r="G16" t="s">
        <v>67</v>
      </c>
    </row>
    <row r="17" spans="2:7">
      <c r="B17" s="14" t="s">
        <v>68</v>
      </c>
      <c r="C17" s="14" t="s">
        <v>69</v>
      </c>
      <c r="D17" s="53" t="s">
        <v>70</v>
      </c>
      <c r="E17" s="70" t="s">
        <v>15</v>
      </c>
      <c r="F17" s="53"/>
      <c r="G17" t="s">
        <v>71</v>
      </c>
    </row>
    <row r="18" spans="2:7">
      <c r="B18" s="58" t="s">
        <v>72</v>
      </c>
      <c r="C18" s="69" t="s">
        <v>73</v>
      </c>
      <c r="D18" s="53" t="s">
        <v>74</v>
      </c>
      <c r="E18" s="56" t="s">
        <v>75</v>
      </c>
      <c r="F18" s="53"/>
      <c r="G18" t="s">
        <v>76</v>
      </c>
    </row>
    <row r="19" spans="2:7" ht="29.25">
      <c r="B19" s="58" t="s">
        <v>77</v>
      </c>
      <c r="C19" s="58" t="s">
        <v>78</v>
      </c>
      <c r="D19" s="53" t="s">
        <v>79</v>
      </c>
      <c r="E19" s="68" t="s">
        <v>80</v>
      </c>
      <c r="F19" s="53"/>
      <c r="G19" t="s">
        <v>81</v>
      </c>
    </row>
    <row r="20" spans="2:7">
      <c r="B20" s="8" t="s">
        <v>82</v>
      </c>
      <c r="C20" s="8" t="s">
        <v>83</v>
      </c>
      <c r="D20" t="s">
        <v>84</v>
      </c>
      <c r="E20" s="83" t="s">
        <v>85</v>
      </c>
      <c r="G20" t="s">
        <v>86</v>
      </c>
    </row>
    <row r="21" spans="2:7">
      <c r="B21" s="14" t="s">
        <v>87</v>
      </c>
      <c r="C21" s="14" t="s">
        <v>88</v>
      </c>
      <c r="D21" s="53" t="s">
        <v>89</v>
      </c>
      <c r="E21" s="70" t="s">
        <v>15</v>
      </c>
      <c r="F21" s="53"/>
      <c r="G21" t="s">
        <v>90</v>
      </c>
    </row>
  </sheetData>
  <hyperlinks>
    <hyperlink ref="E19" r:id="rId1" xr:uid="{BA5F35F5-4AAE-41E0-9B8C-9A5880064350}"/>
    <hyperlink ref="E8" r:id="rId2" xr:uid="{2A52A0EB-48B0-4171-A847-A9E1A9D9E9C6}"/>
    <hyperlink ref="E3" r:id="rId3" xr:uid="{ED6382D6-268B-48A9-B062-15BD2C9A8948}"/>
    <hyperlink ref="E9" r:id="rId4" xr:uid="{32BA7012-8F1B-4FBD-96FE-16B5FB211B62}"/>
    <hyperlink ref="E18" r:id="rId5" xr:uid="{EEB8A39A-C228-4B85-B5DB-FB2CE3EA9A96}"/>
    <hyperlink ref="E13" r:id="rId6" xr:uid="{FFD5037D-6E0C-46C5-BEE1-22E9759DCF31}"/>
    <hyperlink ref="E10" r:id="rId7" xr:uid="{F8C097C7-9340-4035-A7CC-741538937FE2}"/>
    <hyperlink ref="E20" r:id="rId8" xr:uid="{531A650F-B71D-4F3B-A374-EC45C67F474A}"/>
    <hyperlink ref="E12" r:id="rId9" xr:uid="{102A2EA1-D7F5-4799-927F-CD1383F95234}"/>
  </hyperlinks>
  <pageMargins left="0.7" right="0.7" top="0.75" bottom="0.75" header="0.3" footer="0.3"/>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E50D2-4C46-4C47-ADFC-DF7A3FD218F0}">
  <dimension ref="A1:E26"/>
  <sheetViews>
    <sheetView topLeftCell="C11" workbookViewId="0">
      <selection activeCell="C11" sqref="C11"/>
    </sheetView>
  </sheetViews>
  <sheetFormatPr defaultRowHeight="15"/>
  <cols>
    <col min="1" max="5" width="35.7109375" style="8" customWidth="1"/>
  </cols>
  <sheetData>
    <row r="1" spans="1:4">
      <c r="A1" s="8" t="s">
        <v>91</v>
      </c>
      <c r="B1" s="83" t="s">
        <v>92</v>
      </c>
    </row>
    <row r="2" spans="1:4">
      <c r="A2" s="8" t="s">
        <v>93</v>
      </c>
      <c r="B2" s="87">
        <v>45818</v>
      </c>
    </row>
    <row r="3" spans="1:4" ht="19.5">
      <c r="A3" s="88" t="s">
        <v>94</v>
      </c>
      <c r="C3" s="91" t="str">
        <f>A3</f>
        <v>Findable</v>
      </c>
    </row>
    <row r="4" spans="1:4">
      <c r="A4" s="89" t="s">
        <v>95</v>
      </c>
    </row>
    <row r="5" spans="1:4">
      <c r="A5" s="89" t="s">
        <v>96</v>
      </c>
      <c r="C5" s="8" t="str">
        <f>LEFT(A5,2)</f>
        <v>F1</v>
      </c>
      <c r="D5" s="8" t="str">
        <f>RIGHT(A5,LEN(A5)-4)</f>
        <v>(Meta)data are assigned a globally unique and persistent identifier</v>
      </c>
    </row>
    <row r="6" spans="1:4">
      <c r="A6" s="89" t="s">
        <v>97</v>
      </c>
      <c r="C6" s="8" t="str">
        <f t="shared" ref="C6:C8" si="0">LEFT(A6,2)</f>
        <v>F2</v>
      </c>
      <c r="D6" s="8" t="str">
        <f t="shared" ref="D6:D8" si="1">RIGHT(A6,LEN(A6)-4)</f>
        <v>Data are described with rich metadata (defined by R1 below)</v>
      </c>
    </row>
    <row r="7" spans="1:4">
      <c r="A7" s="89" t="s">
        <v>98</v>
      </c>
      <c r="C7" s="8" t="str">
        <f t="shared" si="0"/>
        <v>F3</v>
      </c>
      <c r="D7" s="8" t="str">
        <f t="shared" si="1"/>
        <v>Metadata clearly and explicitly include the identifier of the data they describe</v>
      </c>
    </row>
    <row r="8" spans="1:4">
      <c r="A8" s="89" t="s">
        <v>99</v>
      </c>
      <c r="C8" s="8" t="str">
        <f t="shared" si="0"/>
        <v>F4</v>
      </c>
      <c r="D8" s="8" t="str">
        <f t="shared" si="1"/>
        <v>(Meta)data are registered or indexed in a searchable resource</v>
      </c>
    </row>
    <row r="9" spans="1:4" ht="19.5">
      <c r="A9" s="88" t="s">
        <v>100</v>
      </c>
      <c r="C9" s="91" t="str">
        <f>A9</f>
        <v>Accessible</v>
      </c>
    </row>
    <row r="10" spans="1:4" ht="19.5">
      <c r="A10" s="90" t="s">
        <v>101</v>
      </c>
    </row>
    <row r="11" spans="1:4">
      <c r="A11" s="89" t="s">
        <v>102</v>
      </c>
      <c r="C11" s="8" t="str">
        <f>LEFT(A11,2)</f>
        <v>A1</v>
      </c>
      <c r="D11" s="8" t="str">
        <f>RIGHT(A11,LEN(A11)-4)</f>
        <v>(Meta)data are retrievable by their identifier using a standardised communications protocol</v>
      </c>
    </row>
    <row r="12" spans="1:4">
      <c r="A12" s="89" t="s">
        <v>103</v>
      </c>
      <c r="C12" s="8" t="str">
        <f>LEFT(A12,4)</f>
        <v>A1.1</v>
      </c>
      <c r="D12" s="8" t="str">
        <f>RIGHT(A12,LEN(A12)-5)</f>
        <v>The protocol is open, free, and universally implementable</v>
      </c>
    </row>
    <row r="13" spans="1:4">
      <c r="A13" s="89" t="s">
        <v>104</v>
      </c>
      <c r="C13" s="8" t="str">
        <f>LEFT(A13,4)</f>
        <v>A1.2</v>
      </c>
      <c r="D13" s="8" t="str">
        <f>RIGHT(A13,LEN(A13)-5)</f>
        <v>The protocol allows for an authentication and authorisation procedure, where necessary</v>
      </c>
    </row>
    <row r="14" spans="1:4">
      <c r="A14" s="89" t="s">
        <v>105</v>
      </c>
      <c r="C14" s="8" t="str">
        <f t="shared" ref="C14" si="2">LEFT(A14,2)</f>
        <v>A2</v>
      </c>
      <c r="D14" s="8" t="str">
        <f>RIGHT(A14,LEN(A14)-4)</f>
        <v>Metadata are accessible, even when the data are no longer available</v>
      </c>
    </row>
    <row r="15" spans="1:4" ht="19.5">
      <c r="A15" s="88" t="s">
        <v>106</v>
      </c>
      <c r="C15" s="8" t="str">
        <f>A15</f>
        <v>Interoperable</v>
      </c>
    </row>
    <row r="16" spans="1:4" ht="19.5">
      <c r="A16" s="90" t="s">
        <v>107</v>
      </c>
    </row>
    <row r="17" spans="1:4">
      <c r="A17" s="89" t="s">
        <v>108</v>
      </c>
      <c r="C17" s="8" t="str">
        <f>LEFT(A17,2)</f>
        <v>I1</v>
      </c>
      <c r="D17" s="8" t="str">
        <f>RIGHT(A17,LEN(A17)-4)</f>
        <v>(Meta)data use a formal, accessible, shared, and broadly applicable language for knowledge representation.</v>
      </c>
    </row>
    <row r="18" spans="1:4">
      <c r="A18" s="89" t="s">
        <v>109</v>
      </c>
      <c r="C18" s="8" t="str">
        <f>LEFT(A18,4)</f>
        <v xml:space="preserve">I2. </v>
      </c>
      <c r="D18" s="8" t="str">
        <f>RIGHT(A18,LEN(A18)-5)</f>
        <v>Meta)data use vocabularies that follow FAIR principles</v>
      </c>
    </row>
    <row r="19" spans="1:4">
      <c r="A19" s="89" t="s">
        <v>110</v>
      </c>
      <c r="C19" s="8" t="str">
        <f>LEFT(A19,4)</f>
        <v xml:space="preserve">I3. </v>
      </c>
      <c r="D19" s="8" t="str">
        <f>RIGHT(A19,LEN(A19)-5)</f>
        <v>Meta)data include qualified references to other (meta)data</v>
      </c>
    </row>
    <row r="20" spans="1:4" ht="19.5">
      <c r="A20" s="88" t="s">
        <v>111</v>
      </c>
      <c r="C20" s="8" t="str">
        <f>A20</f>
        <v>Reusable</v>
      </c>
    </row>
    <row r="21" spans="1:4" ht="19.5">
      <c r="A21" s="90" t="s">
        <v>112</v>
      </c>
    </row>
    <row r="22" spans="1:4">
      <c r="A22" s="89" t="s">
        <v>113</v>
      </c>
      <c r="C22" s="8" t="str">
        <f>LEFT(A22,2)</f>
        <v>R1</v>
      </c>
      <c r="D22" s="8" t="str">
        <f>RIGHT(A22,LEN(A22)-4)</f>
        <v>(Meta)data are richly described with a plurality of accurate and relevant attributes</v>
      </c>
    </row>
    <row r="23" spans="1:4">
      <c r="A23" s="89" t="s">
        <v>114</v>
      </c>
      <c r="C23" s="8" t="str">
        <f>LEFT(A23,4)</f>
        <v>R1.1</v>
      </c>
      <c r="D23" s="8" t="str">
        <f>RIGHT(A23,LEN(A23)-5)</f>
        <v xml:space="preserve"> (Meta)data are released with a clear and accessible data usage license</v>
      </c>
    </row>
    <row r="24" spans="1:4">
      <c r="A24" s="89" t="s">
        <v>115</v>
      </c>
      <c r="C24" s="8" t="str">
        <f>LEFT(A24,4)</f>
        <v>R1.2</v>
      </c>
      <c r="D24" s="8" t="str">
        <f>RIGHT(A24,LEN(A24)-5)</f>
        <v xml:space="preserve"> (Meta)data are associated with detailed provenance</v>
      </c>
    </row>
    <row r="25" spans="1:4">
      <c r="A25" s="89" t="s">
        <v>116</v>
      </c>
      <c r="C25" s="8" t="str">
        <f>LEFT(A25,4)</f>
        <v>R1.3</v>
      </c>
      <c r="D25" s="8" t="str">
        <f>RIGHT(A25,LEN(A25)-5)</f>
        <v xml:space="preserve"> (Meta)data meet domain-relevant community standards</v>
      </c>
    </row>
    <row r="26" spans="1:4" ht="19.5">
      <c r="A26" s="90" t="s">
        <v>117</v>
      </c>
    </row>
  </sheetData>
  <hyperlinks>
    <hyperlink ref="A4" r:id="rId1" display="The first step in (re)using data is to find them. Metadata and data should be easy to find for both humans and computers. Machine-readable metadata are essential for automatic discovery of datasets and services, so this is an essential component of the FAIRification process." xr:uid="{2F7E2AD1-D678-4550-9086-95DA7D5ADD45}"/>
    <hyperlink ref="A5" r:id="rId2" xr:uid="{8DAA6E80-7F7F-451B-8841-93A1B3D59BDA}"/>
    <hyperlink ref="A6" r:id="rId3" xr:uid="{4CF8FD90-1B9E-4E08-B2DA-0D80DEC486F3}"/>
    <hyperlink ref="A7" r:id="rId4" xr:uid="{D00B6965-21F4-4040-91B9-95EABD5259AA}"/>
    <hyperlink ref="A8" r:id="rId5" xr:uid="{4042DAAC-9DA2-4F02-BE99-190CFF9082A9}"/>
    <hyperlink ref="A11" r:id="rId6" xr:uid="{A90481AD-8EBE-41F1-B397-167B2BFB2259}"/>
    <hyperlink ref="A12" r:id="rId7" xr:uid="{1DB138E6-8148-48B2-9821-C38A8B607EF5}"/>
    <hyperlink ref="A13" r:id="rId8" xr:uid="{C2E2333A-7A57-4302-87E5-5827A87CA858}"/>
    <hyperlink ref="A14" r:id="rId9" xr:uid="{C1EE9E89-643C-4BA8-9940-C6D3536E7CA2}"/>
    <hyperlink ref="A17" r:id="rId10" xr:uid="{C491A173-C45B-4942-8FD1-04841F6461CA}"/>
    <hyperlink ref="A18" r:id="rId11" xr:uid="{26D18D44-3B33-48A3-ABD0-B6C588BC4DE6}"/>
    <hyperlink ref="A19" r:id="rId12" xr:uid="{CA4B7424-9411-4C1E-ABC5-21E82C5871A8}"/>
    <hyperlink ref="A22" r:id="rId13" xr:uid="{1EEE24D7-DE21-49B0-85D7-D9D39C64D2F8}"/>
    <hyperlink ref="A23" r:id="rId14" xr:uid="{ADDA74F6-F477-483E-A0B7-2DCA32408596}"/>
    <hyperlink ref="A24" r:id="rId15" xr:uid="{F369834A-DCEE-4D07-98E4-0B7BB3AC261A}"/>
    <hyperlink ref="A25" r:id="rId16" xr:uid="{1DBCF413-DDD1-4429-B21F-1B9F4AB8D78E}"/>
    <hyperlink ref="B1" r:id="rId17" xr:uid="{F9D68D9E-5ED9-44AD-B543-5EA4C64D0B7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7E66-BECE-41EA-8B9C-BE3DFAD12703}">
  <dimension ref="A1:Y36"/>
  <sheetViews>
    <sheetView workbookViewId="0">
      <pane xSplit="2" ySplit="2" topLeftCell="N8" activePane="bottomRight" state="frozen"/>
      <selection pane="bottomRight" activeCell="O10" sqref="O10"/>
      <selection pane="bottomLeft"/>
      <selection pane="topRight"/>
    </sheetView>
  </sheetViews>
  <sheetFormatPr defaultColWidth="8.85546875" defaultRowHeight="54" customHeight="1"/>
  <cols>
    <col min="1" max="1" width="25.42578125" style="2" customWidth="1"/>
    <col min="2" max="2" width="25" style="2" customWidth="1"/>
    <col min="3" max="3" width="11" style="2" customWidth="1"/>
    <col min="4" max="4" width="55.7109375" style="2" customWidth="1"/>
    <col min="5" max="5" width="29" style="2" customWidth="1"/>
    <col min="6" max="6" width="42.5703125" style="2" customWidth="1"/>
    <col min="7" max="7" width="30.85546875" style="2" customWidth="1"/>
    <col min="8" max="8" width="53.85546875" style="2" customWidth="1"/>
    <col min="9" max="9" width="11.42578125" style="2" bestFit="1" customWidth="1"/>
    <col min="10" max="10" width="10.140625" style="2" customWidth="1"/>
    <col min="11" max="11" width="50.42578125" style="2" customWidth="1"/>
    <col min="12" max="12" width="52.5703125" style="106" customWidth="1"/>
    <col min="13" max="13" width="60.42578125" style="2" customWidth="1"/>
    <col min="14" max="14" width="29.5703125" style="2" customWidth="1"/>
    <col min="15" max="15" width="46.42578125" style="2" customWidth="1"/>
    <col min="16" max="16" width="53.28515625" customWidth="1"/>
    <col min="18" max="18" width="51.28515625" customWidth="1"/>
    <col min="19" max="19" width="27.28515625" customWidth="1"/>
  </cols>
  <sheetData>
    <row r="1" spans="1:20" ht="104.25" customHeight="1">
      <c r="A1" s="2" t="s">
        <v>118</v>
      </c>
      <c r="B1" s="5" t="s">
        <v>119</v>
      </c>
      <c r="C1" s="5"/>
      <c r="D1" s="5" t="s">
        <v>120</v>
      </c>
      <c r="E1" s="49" t="s">
        <v>121</v>
      </c>
      <c r="F1" s="5" t="s">
        <v>122</v>
      </c>
      <c r="G1" s="5" t="s">
        <v>123</v>
      </c>
      <c r="H1" s="5" t="s">
        <v>124</v>
      </c>
      <c r="I1" s="5" t="s">
        <v>125</v>
      </c>
      <c r="J1" s="50" t="s">
        <v>126</v>
      </c>
      <c r="K1" s="5" t="s">
        <v>127</v>
      </c>
      <c r="L1" s="104" t="s">
        <v>128</v>
      </c>
      <c r="M1" s="5" t="s">
        <v>129</v>
      </c>
      <c r="N1" s="49" t="s">
        <v>130</v>
      </c>
      <c r="O1" s="5" t="s">
        <v>128</v>
      </c>
      <c r="P1" s="5" t="s">
        <v>129</v>
      </c>
      <c r="Q1" s="5" t="s">
        <v>131</v>
      </c>
    </row>
    <row r="2" spans="1:20" s="71" customFormat="1" ht="54" customHeight="1">
      <c r="A2" s="84" t="s">
        <v>132</v>
      </c>
      <c r="B2" s="84" t="s">
        <v>133</v>
      </c>
      <c r="C2" s="84" t="s">
        <v>134</v>
      </c>
      <c r="D2" s="84" t="s">
        <v>135</v>
      </c>
      <c r="E2" s="84" t="s">
        <v>136</v>
      </c>
      <c r="F2" s="84" t="s">
        <v>137</v>
      </c>
      <c r="G2" s="84" t="s">
        <v>138</v>
      </c>
      <c r="H2" s="84" t="s">
        <v>139</v>
      </c>
      <c r="I2" s="84" t="s">
        <v>140</v>
      </c>
      <c r="J2" s="84" t="s">
        <v>141</v>
      </c>
      <c r="K2" s="84" t="s">
        <v>142</v>
      </c>
      <c r="L2" s="105" t="s">
        <v>143</v>
      </c>
      <c r="M2" s="84" t="s">
        <v>144</v>
      </c>
      <c r="N2" s="84" t="s">
        <v>145</v>
      </c>
      <c r="O2" s="84" t="s">
        <v>146</v>
      </c>
      <c r="P2" s="84" t="s">
        <v>147</v>
      </c>
      <c r="Q2" s="84" t="s">
        <v>148</v>
      </c>
      <c r="R2" s="84" t="s">
        <v>149</v>
      </c>
      <c r="S2" s="84" t="s">
        <v>150</v>
      </c>
      <c r="T2" s="84" t="s">
        <v>151</v>
      </c>
    </row>
    <row r="3" spans="1:20" ht="133.5" customHeight="1">
      <c r="A3" s="62" t="s">
        <v>152</v>
      </c>
      <c r="B3" s="2" t="s">
        <v>153</v>
      </c>
      <c r="C3" s="2" t="s">
        <v>154</v>
      </c>
      <c r="D3" s="95" t="s">
        <v>155</v>
      </c>
      <c r="E3" s="24" t="s">
        <v>156</v>
      </c>
      <c r="F3" s="2" t="s">
        <v>157</v>
      </c>
      <c r="G3" s="2" t="s">
        <v>158</v>
      </c>
      <c r="H3" s="2" t="s">
        <v>159</v>
      </c>
      <c r="I3" s="2" t="s">
        <v>160</v>
      </c>
      <c r="J3" s="26" t="s">
        <v>161</v>
      </c>
      <c r="K3" s="2" t="s">
        <v>162</v>
      </c>
      <c r="L3" s="106" t="s">
        <v>163</v>
      </c>
      <c r="M3" s="2" t="s">
        <v>164</v>
      </c>
      <c r="N3" s="103" t="s">
        <v>165</v>
      </c>
      <c r="O3" s="2" t="s">
        <v>166</v>
      </c>
      <c r="P3" s="2" t="s">
        <v>167</v>
      </c>
      <c r="R3" s="2"/>
      <c r="S3" s="2"/>
      <c r="T3" s="2"/>
    </row>
    <row r="4" spans="1:20" ht="68.25" customHeight="1">
      <c r="A4" s="62" t="s">
        <v>168</v>
      </c>
      <c r="B4" s="2" t="s">
        <v>169</v>
      </c>
      <c r="C4" s="2" t="s">
        <v>154</v>
      </c>
      <c r="D4" s="2" t="s">
        <v>170</v>
      </c>
      <c r="E4" s="28" t="s">
        <v>171</v>
      </c>
      <c r="F4" s="73" t="s">
        <v>172</v>
      </c>
      <c r="G4" s="2" t="s">
        <v>173</v>
      </c>
      <c r="H4" s="2" t="s">
        <v>174</v>
      </c>
      <c r="I4" s="2" t="s">
        <v>175</v>
      </c>
      <c r="J4" s="30" t="s">
        <v>161</v>
      </c>
      <c r="K4" s="2" t="s">
        <v>176</v>
      </c>
      <c r="L4" s="106" t="s">
        <v>177</v>
      </c>
      <c r="M4" s="7" t="s">
        <v>178</v>
      </c>
      <c r="N4" s="2" t="s">
        <v>179</v>
      </c>
      <c r="O4" s="2" t="s">
        <v>180</v>
      </c>
      <c r="P4" s="2" t="s">
        <v>181</v>
      </c>
      <c r="R4" s="2"/>
      <c r="S4" s="2"/>
      <c r="T4" s="2"/>
    </row>
    <row r="5" spans="1:20" ht="109.5" customHeight="1">
      <c r="A5" s="62" t="s">
        <v>182</v>
      </c>
      <c r="B5" s="2" t="s">
        <v>183</v>
      </c>
      <c r="C5" s="2" t="s">
        <v>154</v>
      </c>
      <c r="D5" s="82" t="s">
        <v>184</v>
      </c>
      <c r="E5" s="2" t="s">
        <v>185</v>
      </c>
      <c r="F5" s="2" t="s">
        <v>186</v>
      </c>
      <c r="G5" s="2" t="s">
        <v>187</v>
      </c>
      <c r="H5" s="2" t="s">
        <v>188</v>
      </c>
      <c r="I5" s="2" t="s">
        <v>189</v>
      </c>
      <c r="J5" s="75" t="s">
        <v>161</v>
      </c>
      <c r="K5" s="2" t="s">
        <v>190</v>
      </c>
      <c r="L5" s="107" t="s">
        <v>191</v>
      </c>
      <c r="M5" s="2" t="s">
        <v>192</v>
      </c>
      <c r="N5" s="2" t="s">
        <v>179</v>
      </c>
      <c r="O5" s="2" t="s">
        <v>193</v>
      </c>
      <c r="P5" s="2" t="s">
        <v>194</v>
      </c>
      <c r="R5" s="2"/>
      <c r="S5" s="2"/>
      <c r="T5" s="2"/>
    </row>
    <row r="6" spans="1:20" ht="109.5" customHeight="1">
      <c r="A6" s="62" t="s">
        <v>195</v>
      </c>
      <c r="B6" s="2" t="s">
        <v>196</v>
      </c>
      <c r="C6" s="2" t="s">
        <v>197</v>
      </c>
      <c r="D6" s="2" t="s">
        <v>198</v>
      </c>
      <c r="E6" s="76" t="s">
        <v>199</v>
      </c>
      <c r="F6" s="73" t="s">
        <v>200</v>
      </c>
      <c r="G6" s="2" t="s">
        <v>201</v>
      </c>
      <c r="H6" s="2" t="s">
        <v>202</v>
      </c>
      <c r="I6" s="2" t="s">
        <v>203</v>
      </c>
      <c r="J6" s="76" t="s">
        <v>204</v>
      </c>
      <c r="K6" s="2" t="s">
        <v>205</v>
      </c>
      <c r="L6" s="107" t="s">
        <v>206</v>
      </c>
      <c r="M6" s="7" t="s">
        <v>207</v>
      </c>
      <c r="O6" s="7" t="s">
        <v>208</v>
      </c>
      <c r="P6" s="2" t="s">
        <v>209</v>
      </c>
      <c r="R6" s="2"/>
      <c r="S6" s="2"/>
      <c r="T6" s="2"/>
    </row>
    <row r="7" spans="1:20" ht="102" customHeight="1">
      <c r="A7" s="62" t="s">
        <v>210</v>
      </c>
      <c r="B7" s="2" t="s">
        <v>211</v>
      </c>
      <c r="C7" s="2" t="s">
        <v>197</v>
      </c>
      <c r="D7" s="2" t="s">
        <v>212</v>
      </c>
      <c r="E7" s="72" t="s">
        <v>213</v>
      </c>
      <c r="F7" s="73" t="s">
        <v>214</v>
      </c>
      <c r="G7" s="2" t="s">
        <v>215</v>
      </c>
      <c r="H7" s="2" t="s">
        <v>216</v>
      </c>
      <c r="I7" s="2" t="s">
        <v>217</v>
      </c>
      <c r="J7" s="30" t="s">
        <v>161</v>
      </c>
      <c r="K7" s="2" t="s">
        <v>218</v>
      </c>
      <c r="L7" s="106" t="s">
        <v>219</v>
      </c>
      <c r="M7" s="2" t="s">
        <v>220</v>
      </c>
      <c r="N7" s="2" t="s">
        <v>179</v>
      </c>
      <c r="O7" s="2" t="s">
        <v>221</v>
      </c>
      <c r="P7" s="2" t="s">
        <v>222</v>
      </c>
      <c r="R7" s="2"/>
      <c r="S7" s="2"/>
      <c r="T7" s="2"/>
    </row>
    <row r="8" spans="1:20" ht="108" customHeight="1">
      <c r="A8" s="62" t="s">
        <v>223</v>
      </c>
      <c r="B8" s="2" t="s">
        <v>224</v>
      </c>
      <c r="C8" s="2" t="s">
        <v>225</v>
      </c>
      <c r="D8" s="2" t="s">
        <v>226</v>
      </c>
      <c r="E8" s="76" t="s">
        <v>227</v>
      </c>
      <c r="F8" s="2" t="s">
        <v>228</v>
      </c>
      <c r="G8" s="2" t="s">
        <v>229</v>
      </c>
      <c r="H8" s="2" t="s">
        <v>230</v>
      </c>
      <c r="I8" s="2" t="s">
        <v>231</v>
      </c>
      <c r="J8" s="26" t="s">
        <v>161</v>
      </c>
      <c r="K8" s="2" t="s">
        <v>232</v>
      </c>
      <c r="L8" s="106" t="s">
        <v>233</v>
      </c>
      <c r="M8" s="2" t="s">
        <v>234</v>
      </c>
      <c r="N8" s="2" t="s">
        <v>179</v>
      </c>
      <c r="O8" s="2" t="s">
        <v>235</v>
      </c>
      <c r="P8" s="2" t="s">
        <v>236</v>
      </c>
      <c r="R8" s="2"/>
      <c r="S8" s="2"/>
      <c r="T8" s="2"/>
    </row>
    <row r="9" spans="1:20" ht="99" customHeight="1">
      <c r="A9" s="62" t="s">
        <v>237</v>
      </c>
      <c r="B9" s="118" t="s">
        <v>238</v>
      </c>
      <c r="C9" s="118" t="s">
        <v>154</v>
      </c>
      <c r="D9" s="77" t="s">
        <v>239</v>
      </c>
      <c r="E9" s="24" t="s">
        <v>240</v>
      </c>
      <c r="F9" s="62" t="s">
        <v>241</v>
      </c>
      <c r="G9" s="2" t="s">
        <v>242</v>
      </c>
      <c r="H9" s="2" t="s">
        <v>243</v>
      </c>
      <c r="I9" s="2" t="s">
        <v>217</v>
      </c>
      <c r="J9" s="26" t="s">
        <v>161</v>
      </c>
      <c r="K9" s="2" t="s">
        <v>244</v>
      </c>
      <c r="L9" s="106" t="s">
        <v>245</v>
      </c>
      <c r="M9" s="2" t="s">
        <v>246</v>
      </c>
      <c r="N9" s="2" t="s">
        <v>247</v>
      </c>
      <c r="O9" s="2" t="s">
        <v>248</v>
      </c>
      <c r="P9" s="2" t="s">
        <v>249</v>
      </c>
      <c r="R9" s="2"/>
      <c r="S9" s="2"/>
      <c r="T9" s="2"/>
    </row>
    <row r="10" spans="1:20" ht="124.5" customHeight="1">
      <c r="A10" s="62" t="s">
        <v>250</v>
      </c>
      <c r="B10" s="119" t="s">
        <v>251</v>
      </c>
      <c r="C10" s="119" t="s">
        <v>225</v>
      </c>
      <c r="D10" s="117" t="s">
        <v>252</v>
      </c>
      <c r="E10" s="74" t="s">
        <v>253</v>
      </c>
      <c r="F10" s="109" t="s">
        <v>254</v>
      </c>
      <c r="G10" s="117" t="s">
        <v>255</v>
      </c>
      <c r="H10" s="9" t="s">
        <v>256</v>
      </c>
      <c r="I10" s="9" t="s">
        <v>257</v>
      </c>
      <c r="J10" s="74" t="s">
        <v>161</v>
      </c>
      <c r="K10" s="9" t="s">
        <v>258</v>
      </c>
      <c r="L10" s="110" t="s">
        <v>259</v>
      </c>
      <c r="M10" s="9" t="s">
        <v>260</v>
      </c>
      <c r="N10" s="9" t="s">
        <v>261</v>
      </c>
      <c r="O10" s="9" t="s">
        <v>262</v>
      </c>
      <c r="P10" s="9" t="s">
        <v>263</v>
      </c>
      <c r="Q10" s="111"/>
      <c r="R10" s="9"/>
      <c r="S10" s="9"/>
      <c r="T10" s="9"/>
    </row>
    <row r="11" spans="1:20" ht="68.25" customHeight="1">
      <c r="A11" s="62" t="s">
        <v>264</v>
      </c>
      <c r="B11" s="122" t="s">
        <v>265</v>
      </c>
      <c r="C11" s="122" t="s">
        <v>225</v>
      </c>
      <c r="D11" s="2" t="s">
        <v>266</v>
      </c>
      <c r="E11" s="24" t="s">
        <v>227</v>
      </c>
      <c r="F11" s="2" t="s">
        <v>267</v>
      </c>
      <c r="G11" s="2" t="s">
        <v>268</v>
      </c>
      <c r="H11" s="2" t="s">
        <v>269</v>
      </c>
      <c r="I11" s="2" t="s">
        <v>270</v>
      </c>
      <c r="J11" s="26" t="s">
        <v>161</v>
      </c>
      <c r="K11" s="2" t="s">
        <v>271</v>
      </c>
      <c r="L11" s="106" t="s">
        <v>272</v>
      </c>
      <c r="M11" s="77" t="s">
        <v>273</v>
      </c>
      <c r="N11" s="2" t="s">
        <v>274</v>
      </c>
      <c r="O11" s="2" t="s">
        <v>275</v>
      </c>
      <c r="P11" s="2" t="s">
        <v>276</v>
      </c>
      <c r="R11" s="2"/>
      <c r="S11" s="2"/>
      <c r="T11" s="2"/>
    </row>
    <row r="12" spans="1:20" ht="68.25" customHeight="1">
      <c r="A12" s="62" t="s">
        <v>277</v>
      </c>
      <c r="B12" s="2" t="s">
        <v>278</v>
      </c>
      <c r="C12" s="2" t="s">
        <v>197</v>
      </c>
      <c r="D12" s="2" t="s">
        <v>279</v>
      </c>
      <c r="E12" s="73" t="s">
        <v>280</v>
      </c>
      <c r="F12" s="73" t="s">
        <v>200</v>
      </c>
      <c r="G12" s="2" t="s">
        <v>281</v>
      </c>
      <c r="H12" s="2" t="s">
        <v>282</v>
      </c>
      <c r="I12" s="2" t="s">
        <v>283</v>
      </c>
      <c r="J12" s="2" t="s">
        <v>204</v>
      </c>
      <c r="K12" s="2" t="s">
        <v>284</v>
      </c>
      <c r="L12" s="106" t="s">
        <v>285</v>
      </c>
      <c r="M12" s="7" t="s">
        <v>286</v>
      </c>
      <c r="N12" s="2" t="s">
        <v>179</v>
      </c>
      <c r="O12" s="2" t="s">
        <v>287</v>
      </c>
      <c r="P12" s="2" t="s">
        <v>288</v>
      </c>
      <c r="R12" s="2"/>
      <c r="S12" s="2"/>
      <c r="T12" s="2"/>
    </row>
    <row r="13" spans="1:20" ht="151.5" customHeight="1">
      <c r="A13" s="62" t="s">
        <v>289</v>
      </c>
      <c r="B13" s="2" t="s">
        <v>290</v>
      </c>
      <c r="C13" s="2" t="s">
        <v>225</v>
      </c>
      <c r="D13" s="7" t="s">
        <v>291</v>
      </c>
      <c r="E13" s="79" t="s">
        <v>292</v>
      </c>
      <c r="F13" s="2" t="s">
        <v>293</v>
      </c>
      <c r="G13" s="2" t="s">
        <v>294</v>
      </c>
      <c r="H13" s="2" t="s">
        <v>295</v>
      </c>
      <c r="I13" s="2" t="s">
        <v>270</v>
      </c>
      <c r="J13" s="75" t="s">
        <v>161</v>
      </c>
      <c r="K13" s="2" t="s">
        <v>296</v>
      </c>
      <c r="L13" s="106" t="s">
        <v>297</v>
      </c>
      <c r="M13" s="7" t="s">
        <v>298</v>
      </c>
      <c r="N13" s="2" t="s">
        <v>299</v>
      </c>
      <c r="O13" s="2" t="s">
        <v>300</v>
      </c>
      <c r="P13" s="2" t="s">
        <v>301</v>
      </c>
      <c r="R13" s="2"/>
      <c r="S13" s="2"/>
      <c r="T13" s="2"/>
    </row>
    <row r="14" spans="1:20" ht="255" customHeight="1">
      <c r="A14" s="62" t="s">
        <v>302</v>
      </c>
      <c r="B14" s="2" t="s">
        <v>303</v>
      </c>
      <c r="C14" s="2" t="s">
        <v>225</v>
      </c>
      <c r="D14" s="2" t="s">
        <v>304</v>
      </c>
      <c r="E14" s="76" t="s">
        <v>305</v>
      </c>
      <c r="F14" s="73" t="s">
        <v>306</v>
      </c>
      <c r="G14" s="2" t="s">
        <v>307</v>
      </c>
      <c r="H14" s="2" t="s">
        <v>308</v>
      </c>
      <c r="I14" s="2" t="s">
        <v>309</v>
      </c>
      <c r="J14" s="2" t="s">
        <v>204</v>
      </c>
      <c r="K14" s="2" t="s">
        <v>310</v>
      </c>
      <c r="L14" s="106" t="s">
        <v>311</v>
      </c>
      <c r="M14" s="2" t="s">
        <v>312</v>
      </c>
      <c r="N14" s="2" t="s">
        <v>313</v>
      </c>
      <c r="O14" s="2" t="s">
        <v>314</v>
      </c>
      <c r="P14" s="2" t="s">
        <v>315</v>
      </c>
      <c r="R14" s="2" t="s">
        <v>316</v>
      </c>
      <c r="S14" s="114" t="s">
        <v>317</v>
      </c>
      <c r="T14" s="2" t="s">
        <v>318</v>
      </c>
    </row>
    <row r="15" spans="1:20" ht="171" customHeight="1">
      <c r="A15" s="62" t="s">
        <v>319</v>
      </c>
      <c r="B15" s="2" t="s">
        <v>320</v>
      </c>
      <c r="C15" s="2" t="s">
        <v>225</v>
      </c>
      <c r="D15" s="2" t="s">
        <v>321</v>
      </c>
      <c r="E15" s="2" t="s">
        <v>322</v>
      </c>
      <c r="F15" s="2" t="s">
        <v>323</v>
      </c>
      <c r="G15" s="2" t="s">
        <v>324</v>
      </c>
      <c r="H15" s="9" t="s">
        <v>325</v>
      </c>
      <c r="I15" s="9" t="s">
        <v>326</v>
      </c>
      <c r="J15" s="74" t="s">
        <v>161</v>
      </c>
      <c r="K15" s="9" t="s">
        <v>327</v>
      </c>
      <c r="L15" s="110" t="s">
        <v>328</v>
      </c>
      <c r="M15" s="77" t="s">
        <v>329</v>
      </c>
      <c r="N15" s="9" t="s">
        <v>330</v>
      </c>
      <c r="O15" s="9" t="s">
        <v>331</v>
      </c>
      <c r="P15" s="9" t="s">
        <v>332</v>
      </c>
      <c r="Q15" s="111"/>
      <c r="R15" s="9" t="s">
        <v>331</v>
      </c>
      <c r="S15" s="77" t="s">
        <v>329</v>
      </c>
      <c r="T15" s="9"/>
    </row>
    <row r="16" spans="1:20" ht="68.25" customHeight="1">
      <c r="A16" s="62" t="s">
        <v>333</v>
      </c>
      <c r="B16" s="2" t="s">
        <v>334</v>
      </c>
      <c r="C16" s="2" t="s">
        <v>225</v>
      </c>
      <c r="D16" s="2" t="s">
        <v>335</v>
      </c>
      <c r="E16" s="76" t="s">
        <v>336</v>
      </c>
      <c r="F16" s="73" t="s">
        <v>337</v>
      </c>
      <c r="G16" s="2" t="s">
        <v>338</v>
      </c>
      <c r="H16" s="2" t="s">
        <v>339</v>
      </c>
      <c r="I16" s="2" t="s">
        <v>270</v>
      </c>
      <c r="J16" s="76" t="s">
        <v>204</v>
      </c>
      <c r="K16" s="2" t="s">
        <v>340</v>
      </c>
      <c r="L16" s="106" t="s">
        <v>341</v>
      </c>
      <c r="M16" s="2" t="s">
        <v>342</v>
      </c>
      <c r="N16" s="2" t="s">
        <v>343</v>
      </c>
      <c r="O16" s="2" t="s">
        <v>344</v>
      </c>
      <c r="P16" s="2" t="s">
        <v>345</v>
      </c>
      <c r="R16" s="2"/>
      <c r="S16" s="2"/>
      <c r="T16" s="2"/>
    </row>
    <row r="17" spans="1:25" ht="84.75" customHeight="1">
      <c r="A17" s="62" t="s">
        <v>346</v>
      </c>
      <c r="B17" s="2" t="s">
        <v>347</v>
      </c>
      <c r="C17" s="2" t="s">
        <v>225</v>
      </c>
      <c r="D17" s="2" t="s">
        <v>348</v>
      </c>
      <c r="E17" s="74" t="s">
        <v>349</v>
      </c>
      <c r="F17" s="2" t="s">
        <v>350</v>
      </c>
      <c r="G17" s="2" t="s">
        <v>351</v>
      </c>
      <c r="H17" s="2" t="s">
        <v>352</v>
      </c>
      <c r="J17" s="75" t="s">
        <v>161</v>
      </c>
      <c r="K17" s="2" t="s">
        <v>353</v>
      </c>
      <c r="L17" s="106" t="s">
        <v>354</v>
      </c>
      <c r="M17" s="2" t="s">
        <v>355</v>
      </c>
      <c r="N17" s="2" t="s">
        <v>179</v>
      </c>
      <c r="O17" s="2" t="s">
        <v>356</v>
      </c>
      <c r="P17" s="2" t="s">
        <v>357</v>
      </c>
      <c r="R17" s="2"/>
      <c r="S17" s="2"/>
      <c r="T17" s="2" t="s">
        <v>358</v>
      </c>
    </row>
    <row r="18" spans="1:25" ht="105.75" customHeight="1">
      <c r="A18" s="62" t="s">
        <v>359</v>
      </c>
      <c r="B18" s="2" t="s">
        <v>360</v>
      </c>
      <c r="C18" s="2" t="s">
        <v>154</v>
      </c>
      <c r="D18" s="2" t="s">
        <v>361</v>
      </c>
      <c r="E18" s="24" t="s">
        <v>362</v>
      </c>
      <c r="F18" s="73" t="s">
        <v>363</v>
      </c>
      <c r="G18" s="2" t="s">
        <v>364</v>
      </c>
      <c r="H18" s="2" t="s">
        <v>365</v>
      </c>
      <c r="I18" s="2" t="s">
        <v>366</v>
      </c>
      <c r="J18" s="26" t="s">
        <v>161</v>
      </c>
      <c r="K18" s="2" t="s">
        <v>367</v>
      </c>
      <c r="L18" s="106" t="s">
        <v>368</v>
      </c>
      <c r="M18" s="2" t="s">
        <v>369</v>
      </c>
      <c r="N18" s="2" t="s">
        <v>179</v>
      </c>
      <c r="O18" s="2" t="s">
        <v>370</v>
      </c>
      <c r="P18" s="2" t="s">
        <v>371</v>
      </c>
      <c r="R18" s="2"/>
      <c r="S18" s="2"/>
      <c r="T18" s="2"/>
    </row>
    <row r="19" spans="1:25" ht="150.75" customHeight="1">
      <c r="A19" s="62" t="s">
        <v>372</v>
      </c>
      <c r="B19" s="122" t="s">
        <v>373</v>
      </c>
      <c r="C19" s="122" t="s">
        <v>225</v>
      </c>
      <c r="D19" s="2" t="s">
        <v>374</v>
      </c>
      <c r="E19" s="78" t="s">
        <v>375</v>
      </c>
      <c r="F19" s="62" t="s">
        <v>376</v>
      </c>
      <c r="G19" s="2" t="s">
        <v>377</v>
      </c>
      <c r="H19" s="2" t="s">
        <v>378</v>
      </c>
      <c r="J19" s="75" t="s">
        <v>161</v>
      </c>
      <c r="K19" s="2" t="s">
        <v>379</v>
      </c>
      <c r="L19" s="106" t="s">
        <v>380</v>
      </c>
      <c r="M19" s="82" t="s">
        <v>381</v>
      </c>
      <c r="N19" s="2" t="s">
        <v>382</v>
      </c>
      <c r="O19" s="2" t="s">
        <v>383</v>
      </c>
      <c r="P19" s="2" t="s">
        <v>384</v>
      </c>
      <c r="R19" s="77" t="s">
        <v>385</v>
      </c>
      <c r="S19" s="2" t="s">
        <v>386</v>
      </c>
      <c r="T19" s="2"/>
    </row>
    <row r="20" spans="1:25" ht="68.25" customHeight="1">
      <c r="A20" s="62" t="s">
        <v>387</v>
      </c>
      <c r="B20" s="2" t="s">
        <v>388</v>
      </c>
      <c r="C20" s="2" t="s">
        <v>225</v>
      </c>
      <c r="D20" s="2" t="s">
        <v>389</v>
      </c>
      <c r="E20" s="76" t="s">
        <v>390</v>
      </c>
      <c r="F20" s="73" t="s">
        <v>200</v>
      </c>
      <c r="G20" s="2" t="s">
        <v>391</v>
      </c>
      <c r="H20" s="2" t="s">
        <v>392</v>
      </c>
      <c r="I20" s="2" t="s">
        <v>393</v>
      </c>
      <c r="J20" s="76" t="s">
        <v>204</v>
      </c>
      <c r="K20" s="2" t="s">
        <v>394</v>
      </c>
      <c r="L20" s="106" t="s">
        <v>395</v>
      </c>
      <c r="M20" s="2" t="s">
        <v>396</v>
      </c>
      <c r="O20" s="2" t="s">
        <v>397</v>
      </c>
      <c r="P20" s="2" t="s">
        <v>398</v>
      </c>
      <c r="R20" s="2" t="s">
        <v>399</v>
      </c>
      <c r="S20" s="2" t="s">
        <v>400</v>
      </c>
      <c r="T20" s="2"/>
    </row>
    <row r="21" spans="1:25" ht="117" customHeight="1">
      <c r="A21" s="62" t="s">
        <v>401</v>
      </c>
      <c r="B21" s="2" t="s">
        <v>402</v>
      </c>
      <c r="C21" s="2" t="s">
        <v>154</v>
      </c>
      <c r="D21" s="2" t="s">
        <v>403</v>
      </c>
      <c r="E21" s="78" t="s">
        <v>404</v>
      </c>
      <c r="F21" s="62" t="s">
        <v>405</v>
      </c>
      <c r="G21" s="2" t="s">
        <v>406</v>
      </c>
      <c r="H21" s="2" t="s">
        <v>407</v>
      </c>
      <c r="I21" s="2" t="s">
        <v>217</v>
      </c>
      <c r="J21" s="75" t="s">
        <v>161</v>
      </c>
      <c r="K21" s="2" t="s">
        <v>408</v>
      </c>
      <c r="L21" s="106" t="s">
        <v>409</v>
      </c>
      <c r="M21" s="2" t="s">
        <v>410</v>
      </c>
      <c r="O21" s="2" t="s">
        <v>411</v>
      </c>
      <c r="P21" s="2" t="s">
        <v>412</v>
      </c>
      <c r="R21" s="2" t="s">
        <v>413</v>
      </c>
      <c r="S21" s="2"/>
      <c r="T21" s="2"/>
    </row>
    <row r="22" spans="1:25" ht="150" customHeight="1">
      <c r="A22" s="62" t="s">
        <v>414</v>
      </c>
      <c r="B22" s="122" t="s">
        <v>415</v>
      </c>
      <c r="C22" s="122" t="s">
        <v>225</v>
      </c>
      <c r="D22" s="129" t="s">
        <v>416</v>
      </c>
      <c r="E22" s="24" t="s">
        <v>417</v>
      </c>
      <c r="F22" s="73" t="s">
        <v>418</v>
      </c>
      <c r="G22" s="2" t="s">
        <v>419</v>
      </c>
      <c r="H22" s="2" t="s">
        <v>420</v>
      </c>
      <c r="I22" s="2" t="s">
        <v>421</v>
      </c>
      <c r="J22" s="26" t="s">
        <v>161</v>
      </c>
      <c r="K22" s="2" t="s">
        <v>422</v>
      </c>
      <c r="L22" s="107" t="s">
        <v>423</v>
      </c>
      <c r="M22" s="2" t="s">
        <v>424</v>
      </c>
      <c r="N22" s="2" t="s">
        <v>425</v>
      </c>
      <c r="O22" s="2" t="s">
        <v>426</v>
      </c>
      <c r="P22" s="2" t="s">
        <v>427</v>
      </c>
      <c r="R22" s="2"/>
      <c r="S22" s="2"/>
      <c r="T22" s="2"/>
    </row>
    <row r="23" spans="1:25" ht="147" customHeight="1">
      <c r="A23" s="62" t="s">
        <v>428</v>
      </c>
      <c r="B23" s="2" t="s">
        <v>429</v>
      </c>
      <c r="C23" s="2" t="s">
        <v>197</v>
      </c>
      <c r="D23" s="2" t="s">
        <v>430</v>
      </c>
      <c r="E23" s="79" t="s">
        <v>431</v>
      </c>
      <c r="F23" s="73" t="s">
        <v>200</v>
      </c>
      <c r="G23" s="2" t="s">
        <v>432</v>
      </c>
      <c r="H23" s="2" t="s">
        <v>433</v>
      </c>
      <c r="I23" s="2" t="s">
        <v>434</v>
      </c>
      <c r="J23" s="79" t="s">
        <v>204</v>
      </c>
      <c r="K23" s="2" t="s">
        <v>435</v>
      </c>
      <c r="L23" s="106" t="s">
        <v>436</v>
      </c>
      <c r="M23" s="2" t="s">
        <v>437</v>
      </c>
      <c r="N23" s="2" t="s">
        <v>179</v>
      </c>
      <c r="O23" s="2" t="s">
        <v>438</v>
      </c>
      <c r="P23" s="2" t="s">
        <v>439</v>
      </c>
      <c r="R23" s="2"/>
      <c r="S23" s="2"/>
      <c r="T23" s="2"/>
    </row>
    <row r="24" spans="1:25" ht="144.75" customHeight="1">
      <c r="A24" s="62" t="s">
        <v>440</v>
      </c>
      <c r="B24" s="2" t="s">
        <v>441</v>
      </c>
      <c r="C24" s="2" t="s">
        <v>197</v>
      </c>
      <c r="D24" s="2" t="s">
        <v>442</v>
      </c>
      <c r="E24" s="76" t="s">
        <v>443</v>
      </c>
      <c r="F24" s="73" t="s">
        <v>200</v>
      </c>
      <c r="G24" s="2" t="s">
        <v>444</v>
      </c>
      <c r="H24" s="2" t="s">
        <v>445</v>
      </c>
      <c r="I24" s="2" t="s">
        <v>270</v>
      </c>
      <c r="J24" s="2" t="s">
        <v>204</v>
      </c>
      <c r="K24" s="2" t="s">
        <v>446</v>
      </c>
      <c r="L24" s="106" t="s">
        <v>447</v>
      </c>
      <c r="M24" s="2" t="s">
        <v>448</v>
      </c>
      <c r="N24" s="2" t="s">
        <v>179</v>
      </c>
      <c r="O24" s="2" t="s">
        <v>449</v>
      </c>
      <c r="P24" s="2" t="s">
        <v>450</v>
      </c>
      <c r="R24" s="2" t="s">
        <v>451</v>
      </c>
      <c r="S24" s="123" t="s">
        <v>447</v>
      </c>
      <c r="T24" s="2" t="s">
        <v>452</v>
      </c>
      <c r="Y24" s="102"/>
    </row>
    <row r="25" spans="1:25" ht="97.5" customHeight="1">
      <c r="A25" s="62" t="s">
        <v>453</v>
      </c>
      <c r="B25" s="2" t="s">
        <v>454</v>
      </c>
      <c r="C25" s="2" t="s">
        <v>225</v>
      </c>
      <c r="D25" s="2" t="s">
        <v>455</v>
      </c>
      <c r="E25" s="78" t="s">
        <v>456</v>
      </c>
      <c r="F25" s="73" t="s">
        <v>457</v>
      </c>
      <c r="G25" s="2" t="s">
        <v>458</v>
      </c>
      <c r="H25" s="2" t="s">
        <v>459</v>
      </c>
      <c r="I25" s="2" t="s">
        <v>460</v>
      </c>
      <c r="J25" s="75" t="s">
        <v>161</v>
      </c>
      <c r="K25" s="2" t="s">
        <v>461</v>
      </c>
      <c r="L25" s="106" t="s">
        <v>462</v>
      </c>
      <c r="M25" s="27" t="s">
        <v>463</v>
      </c>
      <c r="N25" s="2" t="s">
        <v>179</v>
      </c>
      <c r="O25" s="2" t="s">
        <v>464</v>
      </c>
      <c r="P25" s="2" t="s">
        <v>465</v>
      </c>
      <c r="R25" s="2" t="s">
        <v>466</v>
      </c>
      <c r="S25" s="2"/>
      <c r="T25" s="2"/>
    </row>
    <row r="26" spans="1:25" ht="205.5" customHeight="1">
      <c r="A26" s="62" t="s">
        <v>467</v>
      </c>
      <c r="B26" s="120" t="s">
        <v>468</v>
      </c>
      <c r="C26" s="120" t="s">
        <v>225</v>
      </c>
      <c r="D26" s="44" t="s">
        <v>469</v>
      </c>
      <c r="E26" s="24" t="s">
        <v>470</v>
      </c>
      <c r="F26" s="62" t="s">
        <v>471</v>
      </c>
      <c r="G26" s="129" t="s">
        <v>472</v>
      </c>
      <c r="H26" s="2" t="s">
        <v>473</v>
      </c>
      <c r="I26" s="2" t="s">
        <v>474</v>
      </c>
      <c r="J26" s="26" t="s">
        <v>161</v>
      </c>
      <c r="K26" s="125" t="s">
        <v>475</v>
      </c>
      <c r="L26" s="128" t="s">
        <v>476</v>
      </c>
      <c r="M26" s="2" t="s">
        <v>477</v>
      </c>
      <c r="N26" s="2" t="s">
        <v>478</v>
      </c>
      <c r="O26" s="2" t="s">
        <v>479</v>
      </c>
      <c r="P26" s="2" t="s">
        <v>480</v>
      </c>
      <c r="R26" s="82" t="s">
        <v>481</v>
      </c>
      <c r="S26" s="2"/>
      <c r="T26" s="2"/>
    </row>
    <row r="27" spans="1:25" s="111" customFormat="1" ht="196.5" customHeight="1">
      <c r="A27" s="62" t="s">
        <v>482</v>
      </c>
      <c r="B27" s="121" t="s">
        <v>483</v>
      </c>
      <c r="C27" s="121" t="s">
        <v>225</v>
      </c>
      <c r="D27" s="44" t="s">
        <v>484</v>
      </c>
      <c r="E27" s="33" t="s">
        <v>485</v>
      </c>
      <c r="F27" s="112" t="s">
        <v>486</v>
      </c>
      <c r="G27" s="117" t="s">
        <v>487</v>
      </c>
      <c r="H27" s="9" t="s">
        <v>488</v>
      </c>
      <c r="I27" s="9" t="s">
        <v>217</v>
      </c>
      <c r="J27" s="26" t="s">
        <v>161</v>
      </c>
      <c r="K27" s="126" t="s">
        <v>489</v>
      </c>
      <c r="L27" s="127" t="s">
        <v>490</v>
      </c>
      <c r="M27" s="9" t="s">
        <v>491</v>
      </c>
      <c r="N27" s="77" t="s">
        <v>492</v>
      </c>
      <c r="O27" s="9" t="s">
        <v>493</v>
      </c>
      <c r="P27" s="9" t="s">
        <v>494</v>
      </c>
      <c r="R27" s="117" t="s">
        <v>495</v>
      </c>
      <c r="S27" s="9"/>
      <c r="T27" s="9"/>
    </row>
    <row r="28" spans="1:25" ht="110.25" customHeight="1">
      <c r="A28" s="62" t="s">
        <v>496</v>
      </c>
      <c r="B28" s="122" t="s">
        <v>497</v>
      </c>
      <c r="C28" s="122" t="s">
        <v>225</v>
      </c>
      <c r="D28" s="77" t="s">
        <v>498</v>
      </c>
      <c r="E28" s="78" t="s">
        <v>227</v>
      </c>
      <c r="F28" s="2" t="s">
        <v>74</v>
      </c>
      <c r="G28" s="2" t="s">
        <v>499</v>
      </c>
      <c r="H28" s="2" t="s">
        <v>500</v>
      </c>
      <c r="I28" s="2" t="s">
        <v>501</v>
      </c>
      <c r="J28" s="75" t="s">
        <v>161</v>
      </c>
      <c r="K28" s="2" t="s">
        <v>502</v>
      </c>
      <c r="L28" s="106" t="s">
        <v>503</v>
      </c>
      <c r="M28" s="77" t="s">
        <v>504</v>
      </c>
      <c r="O28" s="2" t="s">
        <v>505</v>
      </c>
      <c r="P28" s="2" t="s">
        <v>506</v>
      </c>
      <c r="R28" s="2"/>
      <c r="S28" s="2"/>
      <c r="T28" s="2"/>
    </row>
    <row r="29" spans="1:25" s="111" customFormat="1" ht="98.25" customHeight="1">
      <c r="A29" s="62" t="s">
        <v>507</v>
      </c>
      <c r="B29" s="2" t="s">
        <v>508</v>
      </c>
      <c r="C29" s="2" t="s">
        <v>225</v>
      </c>
      <c r="D29" s="2" t="s">
        <v>509</v>
      </c>
      <c r="E29" s="72" t="s">
        <v>510</v>
      </c>
      <c r="F29" s="73" t="s">
        <v>200</v>
      </c>
      <c r="G29" s="2" t="s">
        <v>511</v>
      </c>
      <c r="H29" s="2" t="s">
        <v>512</v>
      </c>
      <c r="I29" s="2" t="s">
        <v>513</v>
      </c>
      <c r="J29" s="72" t="s">
        <v>204</v>
      </c>
      <c r="K29" s="2" t="s">
        <v>514</v>
      </c>
      <c r="L29" s="106" t="s">
        <v>515</v>
      </c>
      <c r="M29" s="2" t="s">
        <v>516</v>
      </c>
      <c r="N29" s="2" t="s">
        <v>517</v>
      </c>
      <c r="O29" s="2" t="s">
        <v>518</v>
      </c>
      <c r="P29" s="2" t="s">
        <v>519</v>
      </c>
      <c r="Q29"/>
      <c r="R29" s="2"/>
      <c r="S29" s="2"/>
      <c r="T29" s="2"/>
    </row>
    <row r="30" spans="1:25" ht="136.5" customHeight="1">
      <c r="A30" s="62" t="s">
        <v>520</v>
      </c>
      <c r="B30" s="2" t="s">
        <v>521</v>
      </c>
      <c r="C30" s="2" t="s">
        <v>197</v>
      </c>
      <c r="D30" s="82" t="s">
        <v>522</v>
      </c>
      <c r="E30" s="80" t="s">
        <v>523</v>
      </c>
      <c r="F30" s="73" t="s">
        <v>524</v>
      </c>
      <c r="G30" s="2" t="s">
        <v>525</v>
      </c>
      <c r="H30" s="2" t="s">
        <v>526</v>
      </c>
      <c r="I30" s="2" t="s">
        <v>160</v>
      </c>
      <c r="J30" s="79" t="s">
        <v>204</v>
      </c>
      <c r="K30" s="2" t="s">
        <v>527</v>
      </c>
      <c r="L30" s="106" t="s">
        <v>528</v>
      </c>
      <c r="M30" s="2" t="s">
        <v>529</v>
      </c>
      <c r="N30" s="2" t="s">
        <v>530</v>
      </c>
      <c r="O30" s="2" t="s">
        <v>528</v>
      </c>
      <c r="P30" s="2" t="s">
        <v>531</v>
      </c>
      <c r="R30" s="2"/>
      <c r="S30" s="2"/>
      <c r="T30" s="2"/>
    </row>
    <row r="31" spans="1:25" s="111" customFormat="1" ht="148.5" customHeight="1">
      <c r="A31" s="62" t="s">
        <v>532</v>
      </c>
      <c r="B31" s="2" t="s">
        <v>533</v>
      </c>
      <c r="C31" s="2" t="s">
        <v>225</v>
      </c>
      <c r="D31" s="2" t="s">
        <v>534</v>
      </c>
      <c r="E31" s="2" t="s">
        <v>535</v>
      </c>
      <c r="F31" s="77" t="s">
        <v>536</v>
      </c>
      <c r="G31" s="2" t="s">
        <v>537</v>
      </c>
      <c r="H31" s="2" t="s">
        <v>269</v>
      </c>
      <c r="I31" s="2"/>
      <c r="J31" s="30" t="s">
        <v>161</v>
      </c>
      <c r="K31" s="2" t="s">
        <v>538</v>
      </c>
      <c r="L31" s="106" t="s">
        <v>539</v>
      </c>
      <c r="M31" s="2" t="s">
        <v>540</v>
      </c>
      <c r="N31" s="2" t="s">
        <v>179</v>
      </c>
      <c r="O31" s="2" t="s">
        <v>541</v>
      </c>
      <c r="P31" s="2" t="s">
        <v>542</v>
      </c>
      <c r="Q31" t="s">
        <v>543</v>
      </c>
      <c r="R31" s="2" t="s">
        <v>544</v>
      </c>
      <c r="S31" s="2"/>
      <c r="T31" s="2"/>
    </row>
    <row r="32" spans="1:25" ht="171" customHeight="1">
      <c r="A32" s="9" t="s">
        <v>545</v>
      </c>
      <c r="B32" s="9" t="s">
        <v>546</v>
      </c>
      <c r="C32" s="9"/>
      <c r="D32" s="9" t="s">
        <v>547</v>
      </c>
      <c r="E32" s="74" t="s">
        <v>548</v>
      </c>
      <c r="F32" s="109" t="s">
        <v>549</v>
      </c>
      <c r="G32" s="9" t="s">
        <v>550</v>
      </c>
      <c r="H32" s="9" t="s">
        <v>551</v>
      </c>
      <c r="I32" s="9" t="s">
        <v>552</v>
      </c>
      <c r="J32" s="74" t="s">
        <v>161</v>
      </c>
      <c r="K32" s="9" t="s">
        <v>553</v>
      </c>
      <c r="L32" s="110" t="s">
        <v>554</v>
      </c>
      <c r="M32" s="9" t="s">
        <v>555</v>
      </c>
      <c r="N32" s="9" t="s">
        <v>556</v>
      </c>
      <c r="O32" s="9" t="s">
        <v>557</v>
      </c>
      <c r="P32" s="9" t="s">
        <v>558</v>
      </c>
      <c r="Q32" s="111"/>
      <c r="R32" s="9"/>
      <c r="S32" s="9"/>
      <c r="T32" s="9"/>
    </row>
    <row r="33" spans="1:20" s="111" customFormat="1" ht="101.25" customHeight="1">
      <c r="A33" s="2" t="s">
        <v>559</v>
      </c>
      <c r="B33" s="106" t="s">
        <v>560</v>
      </c>
      <c r="C33" s="106"/>
      <c r="D33" s="77" t="s">
        <v>561</v>
      </c>
      <c r="E33" s="72" t="s">
        <v>562</v>
      </c>
      <c r="F33" s="77" t="s">
        <v>536</v>
      </c>
      <c r="G33" s="2" t="s">
        <v>563</v>
      </c>
      <c r="H33" s="2" t="s">
        <v>564</v>
      </c>
      <c r="I33" s="2" t="s">
        <v>565</v>
      </c>
      <c r="J33" s="26" t="s">
        <v>161</v>
      </c>
      <c r="K33" s="2" t="s">
        <v>566</v>
      </c>
      <c r="L33" s="106" t="s">
        <v>567</v>
      </c>
      <c r="M33" s="2" t="s">
        <v>568</v>
      </c>
      <c r="N33" s="2" t="s">
        <v>569</v>
      </c>
      <c r="O33" s="2" t="s">
        <v>570</v>
      </c>
      <c r="P33" s="2" t="s">
        <v>571</v>
      </c>
      <c r="Q33"/>
      <c r="R33" s="2"/>
      <c r="S33" s="2"/>
      <c r="T33" s="2"/>
    </row>
    <row r="34" spans="1:20" ht="102" customHeight="1">
      <c r="A34" s="2" t="s">
        <v>559</v>
      </c>
      <c r="B34" s="106" t="s">
        <v>572</v>
      </c>
      <c r="C34" s="106"/>
      <c r="D34" s="77" t="s">
        <v>573</v>
      </c>
      <c r="E34" s="124" t="s">
        <v>574</v>
      </c>
      <c r="F34" s="77" t="s">
        <v>536</v>
      </c>
      <c r="G34" s="2" t="s">
        <v>575</v>
      </c>
      <c r="H34" s="2" t="s">
        <v>576</v>
      </c>
      <c r="I34" s="2" t="s">
        <v>565</v>
      </c>
      <c r="J34" s="75" t="s">
        <v>161</v>
      </c>
      <c r="K34" s="2" t="s">
        <v>577</v>
      </c>
      <c r="L34" s="106" t="s">
        <v>578</v>
      </c>
      <c r="M34" s="77" t="s">
        <v>579</v>
      </c>
      <c r="N34" s="2" t="s">
        <v>580</v>
      </c>
      <c r="O34" s="2" t="s">
        <v>581</v>
      </c>
      <c r="P34" s="2" t="s">
        <v>582</v>
      </c>
      <c r="R34" s="2"/>
      <c r="S34" s="2"/>
      <c r="T34" s="2"/>
    </row>
    <row r="35" spans="1:20" ht="274.5" customHeight="1">
      <c r="A35" s="2" t="s">
        <v>583</v>
      </c>
      <c r="B35" s="106" t="s">
        <v>584</v>
      </c>
      <c r="C35" s="106"/>
      <c r="D35" s="2" t="s">
        <v>585</v>
      </c>
      <c r="E35" s="81" t="s">
        <v>417</v>
      </c>
      <c r="F35" s="77" t="s">
        <v>536</v>
      </c>
      <c r="G35" s="2" t="s">
        <v>586</v>
      </c>
      <c r="H35" s="2" t="s">
        <v>587</v>
      </c>
      <c r="I35" s="2" t="s">
        <v>421</v>
      </c>
      <c r="J35" s="113" t="s">
        <v>161</v>
      </c>
      <c r="K35" s="2" t="s">
        <v>588</v>
      </c>
      <c r="L35" s="106" t="s">
        <v>380</v>
      </c>
      <c r="M35" s="77" t="s">
        <v>589</v>
      </c>
      <c r="N35" s="2" t="s">
        <v>590</v>
      </c>
      <c r="O35" s="2" t="s">
        <v>591</v>
      </c>
      <c r="P35" s="2" t="s">
        <v>384</v>
      </c>
      <c r="R35" s="77" t="s">
        <v>385</v>
      </c>
      <c r="S35" s="2"/>
      <c r="T35" s="2"/>
    </row>
    <row r="36" spans="1:20" ht="54" customHeight="1">
      <c r="F36" s="73"/>
      <c r="M36" s="27"/>
      <c r="P36" s="2"/>
      <c r="R36" s="2"/>
      <c r="S36" s="2"/>
      <c r="T36" s="2"/>
    </row>
  </sheetData>
  <hyperlinks>
    <hyperlink ref="F29" r:id="rId1" xr:uid="{79821640-3276-4C89-806A-9ECD11D1E3D9}"/>
    <hyperlink ref="F16" r:id="rId2" xr:uid="{268D84A0-DEEE-429A-90FD-640E88AE05EB}"/>
    <hyperlink ref="F32" r:id="rId3" xr:uid="{62A771BF-BE00-4591-8042-1DD231805967}"/>
    <hyperlink ref="F4" r:id="rId4" xr:uid="{1B498D32-1623-4051-9CD2-5A3A3E3D7925}"/>
    <hyperlink ref="F6" r:id="rId5" xr:uid="{E6215A27-913B-4FA6-8753-EC69D88A68D9}"/>
    <hyperlink ref="F10" r:id="rId6" xr:uid="{9C6158B7-F539-4A24-904F-D12F07D4D951}"/>
    <hyperlink ref="F12" r:id="rId7" xr:uid="{F80600A5-76A5-4295-87BA-3BE0B3878634}"/>
    <hyperlink ref="F30" r:id="rId8" xr:uid="{0CE64AEA-3CF6-41F6-8F72-753CCDFCE995}"/>
    <hyperlink ref="F18" r:id="rId9" xr:uid="{A7009826-F7B7-473C-81F0-E1127B8E7286}"/>
    <hyperlink ref="F20" r:id="rId10" xr:uid="{99767AAC-FE5D-4B1A-AAC1-3AA033804C78}"/>
    <hyperlink ref="F22" r:id="rId11" xr:uid="{A8F122E4-3B21-4554-8488-6F7F37EBF171}"/>
    <hyperlink ref="F23" r:id="rId12" xr:uid="{4B5B0F0D-1643-4DF2-8C74-440278BA5130}"/>
    <hyperlink ref="F24" r:id="rId13" xr:uid="{14CC0BDF-0E8A-407A-81BB-4F334E5FC27A}"/>
    <hyperlink ref="F25" r:id="rId14" xr:uid="{8AE37E03-F391-466C-B1D3-8A8A20976D11}"/>
    <hyperlink ref="E29" r:id="rId15" xr:uid="{E333EA21-80F9-4AFB-8C60-6CC8E54D58AC}"/>
    <hyperlink ref="E16" r:id="rId16" xr:uid="{9D5B6954-FA28-4B8A-A45C-710B84F86C70}"/>
    <hyperlink ref="E33" r:id="rId17" xr:uid="{6DCA899A-5B35-4E37-A40E-A145BD50D497}"/>
    <hyperlink ref="E6" r:id="rId18" xr:uid="{A9B1A6B3-9EF8-45CB-99E0-C86E5FE50907}"/>
    <hyperlink ref="E7" r:id="rId19" xr:uid="{2C7D9DDE-BBAB-4107-B29D-3D0AADFCA096}"/>
    <hyperlink ref="E8" r:id="rId20" xr:uid="{C2CB0B6F-FFCA-474E-8581-EF38FA3EFD0C}"/>
    <hyperlink ref="E34" r:id="rId21" xr:uid="{C4D419DE-ACD2-491D-B5DC-C03DB327F877}"/>
    <hyperlink ref="E12" r:id="rId22" display="giovanni.nisato@pistoiaalliance.org" xr:uid="{12E3C90F-8827-4225-9D31-EF0BA85F39E3}"/>
    <hyperlink ref="E13" r:id="rId23" xr:uid="{D4E2C25B-B40D-4F7F-A1BA-10E1040D5F7D}"/>
    <hyperlink ref="E14" r:id="rId24" xr:uid="{3C8EED03-FC4B-4F4A-AC2F-38D86AF1EB83}"/>
    <hyperlink ref="E20" r:id="rId25" xr:uid="{F1B1B603-E681-4786-9324-8520B8E4C0E7}"/>
    <hyperlink ref="E23" r:id="rId26" xr:uid="{57A2A527-F820-42B9-BB21-6A8F939B0C9D}"/>
    <hyperlink ref="E24" r:id="rId27" xr:uid="{F8C56833-8F5F-4C76-A7FD-A72C16B8D5E0}"/>
    <hyperlink ref="F9" r:id="rId28" xr:uid="{8A64E41C-DEF3-4865-AC93-C3F8D3483EDF}"/>
    <hyperlink ref="F26" r:id="rId29" xr:uid="{7554F6CD-F58A-43BB-AFE3-50FF4B0766FA}"/>
    <hyperlink ref="F21" r:id="rId30" xr:uid="{BDCB0FCA-6899-48FD-A4E1-A535AEE7D465}"/>
    <hyperlink ref="F27" r:id="rId31" xr:uid="{E2E53585-FF67-462F-AE2A-46079B6F6ED3}"/>
    <hyperlink ref="A29" r:id="rId32" xr:uid="{AEEC3BAA-F53C-4A8C-943D-ED2C4707031B}"/>
    <hyperlink ref="A8" r:id="rId33" xr:uid="{C77025AE-B75C-4A30-AF0A-2549553F2A58}"/>
    <hyperlink ref="A23" r:id="rId34" xr:uid="{D9C4F1C3-BB70-4D75-B5EE-20679C826763}"/>
    <hyperlink ref="A4" r:id="rId35" xr:uid="{66230F10-22FA-4145-8E10-1C0C7FA4EC4E}"/>
    <hyperlink ref="A25" r:id="rId36" xr:uid="{DFF3DD1D-0FCB-47F1-9A09-F049643B92C2}"/>
    <hyperlink ref="A24" r:id="rId37" xr:uid="{F13BFAB2-00FA-49F7-9878-101899F93ABC}"/>
    <hyperlink ref="A20" r:id="rId38" xr:uid="{778C2865-1199-440C-A867-7E3BD3391250}"/>
    <hyperlink ref="A21" r:id="rId39" xr:uid="{BE956F20-EA7C-4998-90A5-35F62E0680B0}"/>
    <hyperlink ref="A14" r:id="rId40" xr:uid="{684E0DB7-CB2D-4953-8E92-B10C3E886778}"/>
    <hyperlink ref="A12" r:id="rId41" xr:uid="{DE935215-A52E-4A6E-93D8-4BC22423DE89}"/>
    <hyperlink ref="A7" r:id="rId42" xr:uid="{B8E0220A-55A0-45B2-BAF8-CF70B411AE9A}"/>
    <hyperlink ref="J6" r:id="rId43" xr:uid="{4BF04A2D-B5F2-4DD6-A6FF-C3EA217161EC}"/>
    <hyperlink ref="J16" r:id="rId44" xr:uid="{B452EF57-0EAB-4A3B-93EB-32F4F812CAFE}"/>
    <hyperlink ref="J29" r:id="rId45" xr:uid="{81614A94-B485-47D9-A3B9-345686A23916}"/>
    <hyperlink ref="J30" r:id="rId46" xr:uid="{28EBFBFC-4159-4634-BFB5-C5F84B902E76}"/>
    <hyperlink ref="J23" r:id="rId47" xr:uid="{8DF37EC6-C194-4E10-AFEB-5B911AE33AF7}"/>
    <hyperlink ref="J20" r:id="rId48" xr:uid="{6251B2E5-DBBB-4A67-8E69-CE78D5FC6CB2}"/>
    <hyperlink ref="A3" r:id="rId49" xr:uid="{40079BA1-E5F2-4914-8C03-BB18FF29A1FC}"/>
    <hyperlink ref="A6" r:id="rId50" xr:uid="{7EFB376D-A8EF-4789-839B-38D7979FE167}"/>
    <hyperlink ref="A30" r:id="rId51" xr:uid="{B5DF0F57-74E7-408B-AAAC-99C4A47BBA1D}"/>
    <hyperlink ref="A16" r:id="rId52" xr:uid="{4DF81E66-FB2B-4B3E-A9BE-93CC8D249651}"/>
    <hyperlink ref="A17" r:id="rId53" xr:uid="{79BED003-1600-4188-ABB5-E918EC04E262}"/>
    <hyperlink ref="A18" r:id="rId54" xr:uid="{40C598F3-B042-48F9-A7DE-E09323CDAB90}"/>
    <hyperlink ref="A31" r:id="rId55" xr:uid="{7E3A0AEB-AEC2-4FC3-B7F4-BF1E6A52BEA3}"/>
    <hyperlink ref="A5" r:id="rId56" xr:uid="{71B7CA6B-ED87-48D0-9324-38B7B17C051E}"/>
    <hyperlink ref="A13" r:id="rId57" xr:uid="{7E4D6633-5AEC-4FED-A835-66323304A030}"/>
    <hyperlink ref="F19" r:id="rId58" xr:uid="{5C20105C-7970-4EC0-B05F-FADFFE2F4484}"/>
    <hyperlink ref="A10" r:id="rId59" xr:uid="{DB889987-9A3B-44D5-8E25-6AC56A9046F8}"/>
    <hyperlink ref="A22" r:id="rId60" xr:uid="{B02C12B6-FADB-4037-ABCE-62EED3DDEE17}"/>
    <hyperlink ref="A15" r:id="rId61" location="description-of-fair-benefits-fordata_strategy_owner" xr:uid="{2855D1C6-58CB-40B4-868B-0C4E5E24FFC4}"/>
    <hyperlink ref="A9" r:id="rId62" location="description-of-fair-benefits-fordata_analyst" xr:uid="{7429F40C-0EA2-4037-B544-DFA607389EE1}"/>
    <hyperlink ref="A26" r:id="rId63" xr:uid="{FF9292B0-4D5A-44B1-BB25-1ADF07C5B18B}"/>
    <hyperlink ref="A27" r:id="rId64" xr:uid="{3F51C644-5336-4FB0-BE96-839911240EE8}"/>
    <hyperlink ref="A11" r:id="rId65" xr:uid="{0FA543F6-5405-418B-99DD-EB69F1BF3EAF}"/>
    <hyperlink ref="A28" r:id="rId66" xr:uid="{8F4A0526-D7CE-4946-A746-038E46454216}"/>
    <hyperlink ref="A19" r:id="rId67" xr:uid="{2C8641DA-50C0-4D39-851B-E1C657CF0F39}"/>
  </hyperlinks>
  <pageMargins left="0.7" right="0.7" top="0.75" bottom="0.75" header="0.3" footer="0.3"/>
  <legacyDrawing r:id="rId68"/>
  <tableParts count="1">
    <tablePart r:id="rId69"/>
  </tableParts>
  <extLst>
    <ext xmlns:x14="http://schemas.microsoft.com/office/spreadsheetml/2009/9/main" uri="{CCE6A557-97BC-4b89-ADB6-D9C93CAAB3DF}">
      <x14:dataValidations xmlns:xm="http://schemas.microsoft.com/office/excel/2006/main" count="1">
        <x14:dataValidation type="list" allowBlank="1" showInputMessage="1" showErrorMessage="1" xr:uid="{A6D90572-31EE-43C2-9F0C-6422CC3D6BE8}">
          <x14:formula1>
            <xm:f>'Types of personas'!$B$2:$B$4</xm:f>
          </x14:formula1>
          <xm:sqref>C3:C35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301B-AE99-4DFC-986D-7A2A2DE28343}">
  <dimension ref="B2:B4"/>
  <sheetViews>
    <sheetView workbookViewId="0">
      <selection activeCell="I21" sqref="I21"/>
    </sheetView>
  </sheetViews>
  <sheetFormatPr defaultRowHeight="15"/>
  <sheetData>
    <row r="2" spans="2:2">
      <c r="B2" t="s">
        <v>197</v>
      </c>
    </row>
    <row r="3" spans="2:2">
      <c r="B3" t="s">
        <v>154</v>
      </c>
    </row>
    <row r="4" spans="2:2">
      <c r="B4"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4776-7524-4D28-AD25-1E3C4F31D152}">
  <dimension ref="A1:M52"/>
  <sheetViews>
    <sheetView topLeftCell="A39" workbookViewId="0">
      <selection activeCell="B49" sqref="B49"/>
    </sheetView>
  </sheetViews>
  <sheetFormatPr defaultRowHeight="15"/>
  <cols>
    <col min="1" max="8" width="21.42578125" style="8" customWidth="1"/>
    <col min="9" max="9" width="30.42578125" style="8" customWidth="1"/>
    <col min="10" max="10" width="28" style="8" customWidth="1"/>
    <col min="11" max="11" width="41.140625" style="8" customWidth="1"/>
    <col min="12" max="12" width="21.42578125" style="8" customWidth="1"/>
  </cols>
  <sheetData>
    <row r="1" spans="1:13" ht="15" customHeight="1">
      <c r="A1" s="23" t="s">
        <v>0</v>
      </c>
      <c r="B1"/>
      <c r="C1" s="2"/>
      <c r="D1" s="1"/>
      <c r="E1"/>
      <c r="F1"/>
      <c r="G1"/>
      <c r="H1"/>
      <c r="I1"/>
      <c r="J1"/>
      <c r="K1"/>
      <c r="L1"/>
    </row>
    <row r="2" spans="1:13" ht="15" customHeight="1">
      <c r="A2" s="22"/>
      <c r="B2" s="55" t="s">
        <v>592</v>
      </c>
      <c r="C2" s="54" t="s">
        <v>4</v>
      </c>
      <c r="D2" s="53"/>
      <c r="E2" s="55" t="s">
        <v>592</v>
      </c>
      <c r="F2" s="55" t="s">
        <v>4</v>
      </c>
      <c r="G2"/>
      <c r="H2"/>
      <c r="I2"/>
      <c r="J2"/>
      <c r="K2"/>
      <c r="L2"/>
    </row>
    <row r="3" spans="1:13" ht="30">
      <c r="A3" s="55"/>
      <c r="B3" s="56" t="s">
        <v>336</v>
      </c>
      <c r="C3" s="61" t="s">
        <v>80</v>
      </c>
      <c r="D3" s="53"/>
      <c r="E3" s="14" t="s">
        <v>593</v>
      </c>
      <c r="F3" s="57" t="s">
        <v>15</v>
      </c>
      <c r="G3"/>
      <c r="H3"/>
      <c r="I3"/>
      <c r="J3"/>
      <c r="K3"/>
      <c r="L3"/>
    </row>
    <row r="4" spans="1:13" ht="45">
      <c r="A4" s="55"/>
      <c r="B4" s="58" t="s">
        <v>594</v>
      </c>
      <c r="C4" s="59" t="s">
        <v>15</v>
      </c>
      <c r="D4" s="53"/>
      <c r="E4" s="14" t="s">
        <v>595</v>
      </c>
      <c r="F4" s="57" t="s">
        <v>15</v>
      </c>
      <c r="G4"/>
      <c r="H4"/>
      <c r="I4"/>
      <c r="J4"/>
      <c r="K4"/>
      <c r="L4"/>
    </row>
    <row r="5" spans="1:13" ht="30">
      <c r="A5" s="4"/>
      <c r="B5" s="58" t="s">
        <v>596</v>
      </c>
      <c r="C5" s="61" t="s">
        <v>10</v>
      </c>
      <c r="D5" s="53"/>
      <c r="E5" s="14" t="s">
        <v>597</v>
      </c>
      <c r="F5" s="57" t="s">
        <v>15</v>
      </c>
      <c r="G5"/>
      <c r="H5"/>
      <c r="I5"/>
      <c r="J5"/>
      <c r="K5"/>
      <c r="L5"/>
    </row>
    <row r="6" spans="1:13" ht="45">
      <c r="A6" s="4"/>
      <c r="B6" s="58" t="s">
        <v>598</v>
      </c>
      <c r="C6" s="59" t="s">
        <v>15</v>
      </c>
      <c r="D6" s="53"/>
      <c r="E6" s="14" t="s">
        <v>599</v>
      </c>
      <c r="F6" s="57" t="s">
        <v>15</v>
      </c>
      <c r="G6"/>
      <c r="H6"/>
      <c r="I6"/>
      <c r="J6"/>
      <c r="K6"/>
      <c r="L6"/>
    </row>
    <row r="7" spans="1:13">
      <c r="A7" s="4"/>
      <c r="B7" s="14" t="s">
        <v>600</v>
      </c>
      <c r="C7" s="59"/>
      <c r="D7" s="53"/>
      <c r="E7" s="58" t="s">
        <v>601</v>
      </c>
      <c r="F7" s="57" t="s">
        <v>15</v>
      </c>
      <c r="G7"/>
      <c r="H7"/>
      <c r="I7"/>
      <c r="J7"/>
      <c r="K7"/>
      <c r="L7"/>
    </row>
    <row r="8" spans="1:13" ht="45">
      <c r="A8" s="4"/>
      <c r="B8" s="14" t="s">
        <v>87</v>
      </c>
      <c r="C8" s="59" t="s">
        <v>15</v>
      </c>
      <c r="D8" s="53"/>
      <c r="E8" s="58" t="s">
        <v>602</v>
      </c>
      <c r="F8" s="57" t="s">
        <v>15</v>
      </c>
      <c r="G8"/>
      <c r="H8"/>
      <c r="I8"/>
      <c r="J8"/>
      <c r="K8"/>
      <c r="L8"/>
    </row>
    <row r="9" spans="1:13">
      <c r="A9" s="4"/>
      <c r="B9" s="14" t="s">
        <v>603</v>
      </c>
      <c r="C9" s="59"/>
      <c r="D9" s="53"/>
      <c r="E9" s="58" t="s">
        <v>604</v>
      </c>
      <c r="F9" s="56" t="s">
        <v>37</v>
      </c>
      <c r="G9"/>
      <c r="H9"/>
      <c r="I9"/>
      <c r="J9"/>
      <c r="K9"/>
      <c r="L9"/>
    </row>
    <row r="10" spans="1:13">
      <c r="A10" s="4"/>
      <c r="B10" s="14" t="s">
        <v>605</v>
      </c>
      <c r="C10" s="59"/>
      <c r="D10" s="53"/>
      <c r="E10" s="58" t="s">
        <v>606</v>
      </c>
      <c r="F10" s="58"/>
      <c r="G10"/>
      <c r="H10"/>
      <c r="I10"/>
      <c r="J10"/>
      <c r="K10"/>
      <c r="L10"/>
    </row>
    <row r="11" spans="1:13" ht="30">
      <c r="A11" s="4"/>
      <c r="B11" s="14" t="s">
        <v>607</v>
      </c>
      <c r="C11" s="61" t="s">
        <v>32</v>
      </c>
      <c r="H11"/>
      <c r="I11"/>
      <c r="J11"/>
      <c r="K11"/>
      <c r="L11"/>
    </row>
    <row r="12" spans="1:13">
      <c r="A12" s="4"/>
      <c r="B12" s="14"/>
      <c r="C12" s="61"/>
      <c r="D12" s="52" t="s">
        <v>608</v>
      </c>
      <c r="E12" s="52" t="s">
        <v>608</v>
      </c>
      <c r="F12" s="58"/>
      <c r="G12" s="52" t="s">
        <v>608</v>
      </c>
      <c r="H12"/>
      <c r="I12"/>
      <c r="J12"/>
      <c r="K12"/>
      <c r="L12"/>
    </row>
    <row r="13" spans="1:13" ht="45">
      <c r="A13" s="3" t="s">
        <v>609</v>
      </c>
      <c r="B13" s="3" t="s">
        <v>135</v>
      </c>
      <c r="C13" s="60" t="s">
        <v>610</v>
      </c>
      <c r="D13" s="3" t="s">
        <v>137</v>
      </c>
      <c r="E13" s="3" t="s">
        <v>138</v>
      </c>
      <c r="F13" s="3" t="s">
        <v>139</v>
      </c>
      <c r="G13" s="3" t="s">
        <v>611</v>
      </c>
      <c r="H13" s="60" t="s">
        <v>612</v>
      </c>
      <c r="I13" s="3" t="s">
        <v>142</v>
      </c>
      <c r="J13" s="3" t="s">
        <v>613</v>
      </c>
      <c r="K13" s="3" t="s">
        <v>614</v>
      </c>
      <c r="L13" s="60" t="s">
        <v>615</v>
      </c>
    </row>
    <row r="14" spans="1:13" ht="135">
      <c r="A14" s="5" t="s">
        <v>616</v>
      </c>
      <c r="B14" s="5" t="s">
        <v>617</v>
      </c>
      <c r="C14" s="49" t="s">
        <v>121</v>
      </c>
      <c r="D14" s="5" t="s">
        <v>618</v>
      </c>
      <c r="E14" s="5" t="s">
        <v>123</v>
      </c>
      <c r="F14" s="5" t="s">
        <v>124</v>
      </c>
      <c r="G14" s="5" t="s">
        <v>125</v>
      </c>
      <c r="H14" s="50" t="s">
        <v>126</v>
      </c>
      <c r="I14" s="5" t="s">
        <v>127</v>
      </c>
      <c r="J14" s="5" t="s">
        <v>128</v>
      </c>
      <c r="K14" s="5" t="s">
        <v>129</v>
      </c>
      <c r="L14" s="49" t="s">
        <v>130</v>
      </c>
      <c r="M14" s="5"/>
    </row>
    <row r="15" spans="1:13" ht="45">
      <c r="A15" s="2" t="s">
        <v>133</v>
      </c>
      <c r="B15" s="2" t="s">
        <v>135</v>
      </c>
      <c r="C15" s="51" t="s">
        <v>610</v>
      </c>
      <c r="D15" s="10" t="s">
        <v>137</v>
      </c>
      <c r="E15" s="2" t="s">
        <v>138</v>
      </c>
      <c r="F15" s="2" t="s">
        <v>139</v>
      </c>
      <c r="G15" s="2" t="s">
        <v>140</v>
      </c>
      <c r="H15" s="51" t="s">
        <v>612</v>
      </c>
      <c r="I15" s="10" t="s">
        <v>142</v>
      </c>
      <c r="J15" s="10" t="s">
        <v>613</v>
      </c>
      <c r="K15" s="10" t="s">
        <v>614</v>
      </c>
      <c r="L15" s="51" t="s">
        <v>615</v>
      </c>
      <c r="M15" s="2"/>
    </row>
    <row r="16" spans="1:13" ht="409.5">
      <c r="A16" s="27" t="s">
        <v>619</v>
      </c>
      <c r="B16" s="28" t="s">
        <v>620</v>
      </c>
      <c r="C16" s="28" t="s">
        <v>548</v>
      </c>
      <c r="D16" s="28" t="s">
        <v>621</v>
      </c>
      <c r="E16" s="27" t="s">
        <v>622</v>
      </c>
      <c r="F16" s="29" t="s">
        <v>623</v>
      </c>
      <c r="G16" s="28" t="s">
        <v>552</v>
      </c>
      <c r="H16" s="30" t="s">
        <v>161</v>
      </c>
      <c r="I16" s="28" t="s">
        <v>553</v>
      </c>
      <c r="J16" s="31" t="s">
        <v>624</v>
      </c>
      <c r="K16" s="27" t="s">
        <v>625</v>
      </c>
      <c r="L16" s="28"/>
      <c r="M16" s="2"/>
    </row>
    <row r="17" spans="1:13" ht="409.5">
      <c r="A17" s="43" t="s">
        <v>626</v>
      </c>
      <c r="B17" s="27" t="s">
        <v>627</v>
      </c>
      <c r="C17" s="38" t="s">
        <v>510</v>
      </c>
      <c r="D17" s="38" t="s">
        <v>200</v>
      </c>
      <c r="E17" s="33" t="s">
        <v>628</v>
      </c>
      <c r="F17" s="33" t="s">
        <v>629</v>
      </c>
      <c r="G17" s="28" t="s">
        <v>513</v>
      </c>
      <c r="H17" s="38" t="s">
        <v>204</v>
      </c>
      <c r="I17" s="30" t="s">
        <v>630</v>
      </c>
      <c r="J17" s="30" t="s">
        <v>631</v>
      </c>
      <c r="K17" s="30" t="s">
        <v>632</v>
      </c>
      <c r="L17" s="28" t="s">
        <v>633</v>
      </c>
      <c r="M17" s="2"/>
    </row>
    <row r="18" spans="1:13" ht="409.5">
      <c r="A18" s="33" t="s">
        <v>634</v>
      </c>
      <c r="B18" s="33" t="s">
        <v>635</v>
      </c>
      <c r="C18" s="33" t="s">
        <v>349</v>
      </c>
      <c r="D18" s="33" t="s">
        <v>350</v>
      </c>
      <c r="E18" s="33"/>
      <c r="F18" s="33" t="s">
        <v>636</v>
      </c>
      <c r="G18" s="33"/>
      <c r="H18" s="33"/>
      <c r="I18" s="33" t="s">
        <v>637</v>
      </c>
      <c r="J18" s="33" t="s">
        <v>354</v>
      </c>
      <c r="K18" s="33" t="s">
        <v>638</v>
      </c>
      <c r="L18" s="33"/>
      <c r="M18" s="2"/>
    </row>
    <row r="19" spans="1:13" ht="409.5">
      <c r="A19" s="9" t="s">
        <v>634</v>
      </c>
      <c r="B19" s="9" t="s">
        <v>348</v>
      </c>
      <c r="C19" s="33" t="s">
        <v>349</v>
      </c>
      <c r="D19" s="9" t="s">
        <v>350</v>
      </c>
      <c r="E19" s="9"/>
      <c r="F19" s="9" t="s">
        <v>636</v>
      </c>
      <c r="G19" s="9"/>
      <c r="H19" s="33"/>
      <c r="I19" s="9" t="s">
        <v>353</v>
      </c>
      <c r="J19" s="9" t="s">
        <v>354</v>
      </c>
      <c r="K19" s="9" t="s">
        <v>639</v>
      </c>
      <c r="L19" s="33"/>
      <c r="M19" s="28"/>
    </row>
    <row r="20" spans="1:13" ht="409.5">
      <c r="A20" s="34" t="s">
        <v>640</v>
      </c>
      <c r="B20" s="25" t="s">
        <v>335</v>
      </c>
      <c r="C20" s="25" t="s">
        <v>336</v>
      </c>
      <c r="D20" s="25" t="s">
        <v>337</v>
      </c>
      <c r="E20" s="24" t="s">
        <v>641</v>
      </c>
      <c r="F20" s="32" t="s">
        <v>642</v>
      </c>
      <c r="G20" s="32" t="s">
        <v>270</v>
      </c>
      <c r="H20" s="25" t="s">
        <v>204</v>
      </c>
      <c r="I20" s="32" t="s">
        <v>643</v>
      </c>
      <c r="J20" s="32" t="s">
        <v>644</v>
      </c>
      <c r="K20" s="32" t="s">
        <v>645</v>
      </c>
      <c r="L20" s="24" t="s">
        <v>646</v>
      </c>
      <c r="M20" s="2"/>
    </row>
    <row r="21" spans="1:13" ht="90">
      <c r="A21" s="24" t="s">
        <v>647</v>
      </c>
      <c r="B21" s="24" t="s">
        <v>648</v>
      </c>
      <c r="C21" s="25" t="s">
        <v>562</v>
      </c>
      <c r="D21" s="26" t="s">
        <v>536</v>
      </c>
      <c r="E21" s="24" t="s">
        <v>649</v>
      </c>
      <c r="F21" s="24" t="s">
        <v>650</v>
      </c>
      <c r="G21" s="24" t="s">
        <v>565</v>
      </c>
      <c r="H21" s="26" t="s">
        <v>161</v>
      </c>
      <c r="I21" s="24" t="s">
        <v>566</v>
      </c>
      <c r="J21" s="24" t="s">
        <v>567</v>
      </c>
      <c r="K21" s="24" t="s">
        <v>651</v>
      </c>
      <c r="L21" s="24"/>
      <c r="M21" s="28"/>
    </row>
    <row r="22" spans="1:13" ht="195">
      <c r="A22" s="24" t="s">
        <v>652</v>
      </c>
      <c r="B22" s="24" t="s">
        <v>653</v>
      </c>
      <c r="C22" s="24" t="s">
        <v>654</v>
      </c>
      <c r="D22" s="24" t="s">
        <v>157</v>
      </c>
      <c r="E22" s="24" t="s">
        <v>655</v>
      </c>
      <c r="F22" s="32" t="s">
        <v>656</v>
      </c>
      <c r="G22" s="24" t="s">
        <v>160</v>
      </c>
      <c r="H22" s="26" t="s">
        <v>161</v>
      </c>
      <c r="I22" s="32" t="s">
        <v>657</v>
      </c>
      <c r="J22" s="32" t="s">
        <v>163</v>
      </c>
      <c r="K22" s="32" t="s">
        <v>658</v>
      </c>
      <c r="L22" s="24"/>
      <c r="M22" s="2"/>
    </row>
    <row r="23" spans="1:13" ht="135">
      <c r="A23" s="37" t="s">
        <v>659</v>
      </c>
      <c r="B23" s="28" t="s">
        <v>170</v>
      </c>
      <c r="C23" s="28" t="s">
        <v>660</v>
      </c>
      <c r="D23" s="38" t="s">
        <v>172</v>
      </c>
      <c r="E23" s="28" t="s">
        <v>661</v>
      </c>
      <c r="F23" s="28" t="s">
        <v>662</v>
      </c>
      <c r="G23" s="33" t="s">
        <v>175</v>
      </c>
      <c r="H23" s="30" t="s">
        <v>161</v>
      </c>
      <c r="I23" s="33" t="s">
        <v>663</v>
      </c>
      <c r="J23" s="33" t="s">
        <v>177</v>
      </c>
      <c r="K23" s="33" t="s">
        <v>664</v>
      </c>
      <c r="L23" s="28"/>
      <c r="M23" s="28"/>
    </row>
    <row r="24" spans="1:13" ht="409.5">
      <c r="A24" s="28" t="s">
        <v>665</v>
      </c>
      <c r="B24" s="28" t="s">
        <v>666</v>
      </c>
      <c r="C24" s="28" t="s">
        <v>667</v>
      </c>
      <c r="D24" s="28" t="s">
        <v>186</v>
      </c>
      <c r="E24" s="28" t="s">
        <v>668</v>
      </c>
      <c r="F24" s="28" t="s">
        <v>669</v>
      </c>
      <c r="G24" s="28" t="s">
        <v>189</v>
      </c>
      <c r="H24" s="30" t="s">
        <v>161</v>
      </c>
      <c r="I24" s="33" t="s">
        <v>670</v>
      </c>
      <c r="J24" s="33" t="s">
        <v>191</v>
      </c>
      <c r="K24" s="33" t="s">
        <v>671</v>
      </c>
      <c r="L24" s="28"/>
      <c r="M24" s="2"/>
    </row>
    <row r="25" spans="1:13" ht="120">
      <c r="A25" s="34" t="s">
        <v>672</v>
      </c>
      <c r="B25" s="35" t="s">
        <v>673</v>
      </c>
      <c r="C25" s="25" t="s">
        <v>336</v>
      </c>
      <c r="D25" s="25" t="s">
        <v>200</v>
      </c>
      <c r="E25" s="35" t="s">
        <v>674</v>
      </c>
      <c r="F25" s="35" t="s">
        <v>675</v>
      </c>
      <c r="G25" s="36" t="s">
        <v>270</v>
      </c>
      <c r="H25" s="25" t="s">
        <v>204</v>
      </c>
      <c r="I25" s="36" t="s">
        <v>676</v>
      </c>
      <c r="J25" s="36" t="s">
        <v>676</v>
      </c>
      <c r="K25" s="36" t="s">
        <v>676</v>
      </c>
      <c r="L25" s="35"/>
      <c r="M25" s="2"/>
    </row>
    <row r="26" spans="1:13" ht="180">
      <c r="A26" s="35" t="s">
        <v>677</v>
      </c>
      <c r="B26" s="35" t="s">
        <v>678</v>
      </c>
      <c r="C26" s="35" t="s">
        <v>679</v>
      </c>
      <c r="D26" s="40" t="s">
        <v>536</v>
      </c>
      <c r="E26" s="35" t="s">
        <v>680</v>
      </c>
      <c r="F26" s="36" t="s">
        <v>270</v>
      </c>
      <c r="G26" s="24" t="s">
        <v>681</v>
      </c>
      <c r="H26" s="40" t="s">
        <v>161</v>
      </c>
      <c r="I26" s="36" t="s">
        <v>270</v>
      </c>
      <c r="J26" s="36" t="s">
        <v>270</v>
      </c>
      <c r="K26" s="35" t="s">
        <v>682</v>
      </c>
      <c r="L26" s="24"/>
      <c r="M26" s="2"/>
    </row>
    <row r="27" spans="1:13" ht="195">
      <c r="A27" s="34" t="s">
        <v>683</v>
      </c>
      <c r="B27" s="35" t="s">
        <v>684</v>
      </c>
      <c r="C27" s="35" t="s">
        <v>456</v>
      </c>
      <c r="D27" s="25" t="s">
        <v>685</v>
      </c>
      <c r="E27" s="39" t="s">
        <v>686</v>
      </c>
      <c r="F27" s="35" t="s">
        <v>687</v>
      </c>
      <c r="G27" s="36" t="s">
        <v>270</v>
      </c>
      <c r="H27" s="40" t="s">
        <v>161</v>
      </c>
      <c r="I27" s="35" t="s">
        <v>688</v>
      </c>
      <c r="J27" s="36" t="s">
        <v>270</v>
      </c>
      <c r="K27" s="36" t="s">
        <v>270</v>
      </c>
      <c r="L27" s="35"/>
      <c r="M27" s="2"/>
    </row>
    <row r="28" spans="1:13" ht="409.5">
      <c r="A28" s="24" t="s">
        <v>689</v>
      </c>
      <c r="B28" s="24" t="s">
        <v>690</v>
      </c>
      <c r="C28" s="25" t="s">
        <v>199</v>
      </c>
      <c r="D28" s="25" t="s">
        <v>200</v>
      </c>
      <c r="E28" s="42" t="s">
        <v>691</v>
      </c>
      <c r="F28" s="32" t="s">
        <v>692</v>
      </c>
      <c r="G28" s="32" t="s">
        <v>203</v>
      </c>
      <c r="H28" s="25" t="s">
        <v>204</v>
      </c>
      <c r="I28" s="32" t="s">
        <v>693</v>
      </c>
      <c r="J28" s="32" t="s">
        <v>206</v>
      </c>
      <c r="K28" s="32" t="s">
        <v>694</v>
      </c>
      <c r="L28" s="24"/>
      <c r="M28" s="2"/>
    </row>
    <row r="29" spans="1:13" ht="409.5">
      <c r="A29" s="28" t="s">
        <v>695</v>
      </c>
      <c r="B29" s="28" t="s">
        <v>696</v>
      </c>
      <c r="C29" s="38" t="s">
        <v>213</v>
      </c>
      <c r="D29" s="62" t="s">
        <v>697</v>
      </c>
      <c r="E29" s="62" t="s">
        <v>698</v>
      </c>
      <c r="F29" s="28" t="s">
        <v>699</v>
      </c>
      <c r="G29" s="28" t="s">
        <v>217</v>
      </c>
      <c r="H29" s="30" t="s">
        <v>161</v>
      </c>
      <c r="I29" s="30" t="s">
        <v>700</v>
      </c>
      <c r="J29" s="30" t="s">
        <v>701</v>
      </c>
      <c r="K29" s="33" t="s">
        <v>702</v>
      </c>
      <c r="L29" s="28"/>
      <c r="M29" s="2"/>
    </row>
    <row r="30" spans="1:13" ht="409.5">
      <c r="A30" s="43" t="s">
        <v>703</v>
      </c>
      <c r="B30" s="28" t="s">
        <v>704</v>
      </c>
      <c r="C30" s="38" t="s">
        <v>336</v>
      </c>
      <c r="D30" s="38" t="s">
        <v>200</v>
      </c>
      <c r="E30" s="28" t="s">
        <v>705</v>
      </c>
      <c r="F30" s="33" t="s">
        <v>706</v>
      </c>
      <c r="G30" s="33" t="s">
        <v>270</v>
      </c>
      <c r="H30" s="38" t="s">
        <v>204</v>
      </c>
      <c r="I30" s="28" t="s">
        <v>707</v>
      </c>
      <c r="J30" s="28" t="s">
        <v>707</v>
      </c>
      <c r="K30" s="28" t="s">
        <v>707</v>
      </c>
      <c r="L30" s="28" t="s">
        <v>708</v>
      </c>
      <c r="M30" s="2"/>
    </row>
    <row r="31" spans="1:13" ht="165">
      <c r="A31" s="24" t="s">
        <v>224</v>
      </c>
      <c r="B31" s="44" t="s">
        <v>709</v>
      </c>
      <c r="C31" s="25" t="s">
        <v>227</v>
      </c>
      <c r="D31" s="44" t="s">
        <v>710</v>
      </c>
      <c r="E31" s="24" t="s">
        <v>711</v>
      </c>
      <c r="F31" s="24" t="s">
        <v>712</v>
      </c>
      <c r="G31" s="24" t="s">
        <v>125</v>
      </c>
      <c r="H31" s="26" t="s">
        <v>161</v>
      </c>
      <c r="I31" s="24" t="s">
        <v>232</v>
      </c>
      <c r="J31" s="24" t="s">
        <v>233</v>
      </c>
      <c r="K31" s="24" t="s">
        <v>713</v>
      </c>
      <c r="L31" s="24"/>
      <c r="M31" s="2"/>
    </row>
    <row r="32" spans="1:13" ht="120">
      <c r="A32" s="28" t="s">
        <v>714</v>
      </c>
      <c r="B32" s="28" t="s">
        <v>715</v>
      </c>
      <c r="C32" s="38" t="s">
        <v>574</v>
      </c>
      <c r="D32" s="30" t="s">
        <v>536</v>
      </c>
      <c r="E32" s="28" t="s">
        <v>716</v>
      </c>
      <c r="F32" s="28" t="s">
        <v>717</v>
      </c>
      <c r="G32" s="28" t="s">
        <v>565</v>
      </c>
      <c r="H32" s="30" t="s">
        <v>161</v>
      </c>
      <c r="I32" s="28" t="s">
        <v>577</v>
      </c>
      <c r="J32" s="28" t="s">
        <v>578</v>
      </c>
      <c r="K32" s="28" t="s">
        <v>579</v>
      </c>
      <c r="L32" s="28"/>
      <c r="M32" s="2"/>
    </row>
    <row r="33" spans="1:13" ht="120">
      <c r="A33" s="44" t="s">
        <v>718</v>
      </c>
      <c r="B33" s="24" t="s">
        <v>719</v>
      </c>
      <c r="C33" s="24" t="s">
        <v>240</v>
      </c>
      <c r="D33" s="26" t="s">
        <v>536</v>
      </c>
      <c r="E33" s="24" t="s">
        <v>650</v>
      </c>
      <c r="F33" s="24" t="s">
        <v>720</v>
      </c>
      <c r="G33" s="24" t="s">
        <v>217</v>
      </c>
      <c r="H33" s="26" t="s">
        <v>161</v>
      </c>
      <c r="I33" s="24" t="s">
        <v>721</v>
      </c>
      <c r="J33" s="24" t="s">
        <v>245</v>
      </c>
      <c r="K33" s="24" t="s">
        <v>722</v>
      </c>
      <c r="L33" s="24"/>
      <c r="M33" s="6"/>
    </row>
    <row r="34" spans="1:13" ht="409.5">
      <c r="A34" s="34" t="s">
        <v>723</v>
      </c>
      <c r="B34" s="24" t="s">
        <v>724</v>
      </c>
      <c r="C34" s="24" t="s">
        <v>725</v>
      </c>
      <c r="D34" s="26" t="s">
        <v>536</v>
      </c>
      <c r="E34" s="24" t="s">
        <v>726</v>
      </c>
      <c r="F34" s="32" t="s">
        <v>727</v>
      </c>
      <c r="G34" s="24" t="s">
        <v>474</v>
      </c>
      <c r="H34" s="26" t="s">
        <v>161</v>
      </c>
      <c r="I34" s="34" t="s">
        <v>728</v>
      </c>
      <c r="J34" s="26" t="s">
        <v>729</v>
      </c>
      <c r="K34" s="26" t="s">
        <v>730</v>
      </c>
      <c r="L34" s="24" t="s">
        <v>731</v>
      </c>
      <c r="M34" s="2"/>
    </row>
    <row r="35" spans="1:13" ht="360">
      <c r="A35" s="43" t="s">
        <v>732</v>
      </c>
      <c r="B35" s="27" t="s">
        <v>733</v>
      </c>
      <c r="C35" s="28" t="s">
        <v>734</v>
      </c>
      <c r="D35" s="30" t="s">
        <v>536</v>
      </c>
      <c r="E35" s="28" t="s">
        <v>735</v>
      </c>
      <c r="F35" s="30" t="s">
        <v>736</v>
      </c>
      <c r="G35" s="28" t="s">
        <v>217</v>
      </c>
      <c r="H35" s="30" t="s">
        <v>161</v>
      </c>
      <c r="I35" s="28" t="s">
        <v>737</v>
      </c>
      <c r="J35" s="28" t="s">
        <v>738</v>
      </c>
      <c r="K35" s="28" t="s">
        <v>739</v>
      </c>
      <c r="L35" s="28" t="s">
        <v>740</v>
      </c>
      <c r="M35" s="2"/>
    </row>
    <row r="36" spans="1:13" ht="409.5">
      <c r="A36" s="28" t="s">
        <v>741</v>
      </c>
      <c r="B36" s="28" t="s">
        <v>742</v>
      </c>
      <c r="C36" s="28" t="s">
        <v>253</v>
      </c>
      <c r="D36" s="28" t="s">
        <v>254</v>
      </c>
      <c r="E36" s="28" t="s">
        <v>743</v>
      </c>
      <c r="F36" s="28" t="s">
        <v>744</v>
      </c>
      <c r="G36" s="28" t="s">
        <v>257</v>
      </c>
      <c r="H36" s="30" t="s">
        <v>161</v>
      </c>
      <c r="I36" s="28" t="s">
        <v>745</v>
      </c>
      <c r="J36" s="31" t="s">
        <v>746</v>
      </c>
      <c r="K36" s="28" t="s">
        <v>747</v>
      </c>
      <c r="L36" s="28" t="s">
        <v>748</v>
      </c>
      <c r="M36" s="2"/>
    </row>
    <row r="37" spans="1:13" ht="60">
      <c r="A37" s="24" t="s">
        <v>749</v>
      </c>
      <c r="B37" s="24" t="s">
        <v>266</v>
      </c>
      <c r="C37" s="24" t="s">
        <v>227</v>
      </c>
      <c r="D37" s="24" t="s">
        <v>750</v>
      </c>
      <c r="E37" s="24" t="s">
        <v>751</v>
      </c>
      <c r="F37" s="26" t="s">
        <v>752</v>
      </c>
      <c r="G37" s="32" t="s">
        <v>270</v>
      </c>
      <c r="H37" s="26" t="s">
        <v>161</v>
      </c>
      <c r="I37" s="26" t="s">
        <v>753</v>
      </c>
      <c r="J37" s="24" t="s">
        <v>272</v>
      </c>
      <c r="K37" s="24" t="s">
        <v>754</v>
      </c>
      <c r="L37" s="24"/>
      <c r="M37" s="2"/>
    </row>
    <row r="38" spans="1:13" ht="90">
      <c r="A38" s="28" t="s">
        <v>755</v>
      </c>
      <c r="B38" s="28" t="s">
        <v>756</v>
      </c>
      <c r="C38" s="28" t="s">
        <v>227</v>
      </c>
      <c r="D38" s="28" t="s">
        <v>74</v>
      </c>
      <c r="E38" s="28" t="s">
        <v>757</v>
      </c>
      <c r="F38" s="28" t="s">
        <v>744</v>
      </c>
      <c r="G38" s="28" t="s">
        <v>501</v>
      </c>
      <c r="H38" s="30" t="s">
        <v>161</v>
      </c>
      <c r="I38" s="28" t="s">
        <v>758</v>
      </c>
      <c r="J38" s="28" t="s">
        <v>503</v>
      </c>
      <c r="K38" s="28" t="s">
        <v>759</v>
      </c>
      <c r="L38" s="28"/>
      <c r="M38" s="2"/>
    </row>
    <row r="39" spans="1:13" ht="345">
      <c r="A39" s="24" t="s">
        <v>650</v>
      </c>
      <c r="B39" s="24" t="s">
        <v>760</v>
      </c>
      <c r="C39" s="25" t="s">
        <v>336</v>
      </c>
      <c r="D39" s="25" t="s">
        <v>200</v>
      </c>
      <c r="E39" s="24" t="s">
        <v>761</v>
      </c>
      <c r="F39" s="26" t="s">
        <v>706</v>
      </c>
      <c r="G39" s="24" t="s">
        <v>283</v>
      </c>
      <c r="H39" s="25" t="s">
        <v>204</v>
      </c>
      <c r="I39" s="24" t="s">
        <v>762</v>
      </c>
      <c r="J39" s="24" t="s">
        <v>285</v>
      </c>
      <c r="K39" s="24" t="s">
        <v>763</v>
      </c>
      <c r="L39" s="24"/>
      <c r="M39" s="2"/>
    </row>
    <row r="40" spans="1:13" ht="409.5">
      <c r="A40" s="28" t="s">
        <v>764</v>
      </c>
      <c r="B40" s="28" t="s">
        <v>765</v>
      </c>
      <c r="C40" s="38" t="s">
        <v>292</v>
      </c>
      <c r="D40" s="28" t="s">
        <v>293</v>
      </c>
      <c r="E40" s="28" t="s">
        <v>766</v>
      </c>
      <c r="F40" s="33" t="s">
        <v>767</v>
      </c>
      <c r="G40" s="33" t="s">
        <v>270</v>
      </c>
      <c r="H40" s="30" t="s">
        <v>161</v>
      </c>
      <c r="I40" s="43" t="s">
        <v>768</v>
      </c>
      <c r="J40" s="28" t="s">
        <v>297</v>
      </c>
      <c r="K40" s="33" t="s">
        <v>753</v>
      </c>
      <c r="L40" s="28"/>
      <c r="M40" s="2"/>
    </row>
    <row r="41" spans="1:13" ht="409.5">
      <c r="A41" s="24" t="s">
        <v>744</v>
      </c>
      <c r="B41" s="24" t="s">
        <v>317</v>
      </c>
      <c r="C41" s="25" t="s">
        <v>305</v>
      </c>
      <c r="D41" s="25" t="s">
        <v>200</v>
      </c>
      <c r="E41" s="24" t="s">
        <v>769</v>
      </c>
      <c r="F41" s="32" t="s">
        <v>770</v>
      </c>
      <c r="G41" s="24" t="s">
        <v>309</v>
      </c>
      <c r="H41" s="25" t="s">
        <v>204</v>
      </c>
      <c r="I41" s="24" t="s">
        <v>771</v>
      </c>
      <c r="J41" s="24" t="s">
        <v>311</v>
      </c>
      <c r="K41" s="24" t="s">
        <v>772</v>
      </c>
      <c r="L41" s="24" t="s">
        <v>313</v>
      </c>
      <c r="M41" s="2"/>
    </row>
    <row r="42" spans="1:13" ht="409.5">
      <c r="A42" s="28" t="s">
        <v>773</v>
      </c>
      <c r="B42" s="28" t="s">
        <v>774</v>
      </c>
      <c r="C42" s="28" t="s">
        <v>227</v>
      </c>
      <c r="D42" s="30" t="s">
        <v>775</v>
      </c>
      <c r="E42" s="28" t="s">
        <v>776</v>
      </c>
      <c r="F42" s="33" t="s">
        <v>270</v>
      </c>
      <c r="G42" s="33" t="s">
        <v>270</v>
      </c>
      <c r="H42" s="30" t="s">
        <v>161</v>
      </c>
      <c r="I42" s="28" t="s">
        <v>327</v>
      </c>
      <c r="J42" s="28" t="s">
        <v>328</v>
      </c>
      <c r="K42" s="28" t="s">
        <v>777</v>
      </c>
      <c r="L42" s="28"/>
      <c r="M42" s="2"/>
    </row>
    <row r="43" spans="1:13" ht="90">
      <c r="A43" s="45" t="s">
        <v>778</v>
      </c>
      <c r="B43" s="35" t="s">
        <v>779</v>
      </c>
      <c r="C43" s="25" t="s">
        <v>780</v>
      </c>
      <c r="D43" s="25" t="s">
        <v>200</v>
      </c>
      <c r="E43" s="35" t="s">
        <v>769</v>
      </c>
      <c r="F43" s="35" t="s">
        <v>781</v>
      </c>
      <c r="G43" s="36" t="s">
        <v>270</v>
      </c>
      <c r="H43" s="25" t="s">
        <v>204</v>
      </c>
      <c r="I43" s="36" t="s">
        <v>270</v>
      </c>
      <c r="J43" s="36" t="s">
        <v>270</v>
      </c>
      <c r="K43" s="36" t="s">
        <v>270</v>
      </c>
      <c r="L43" s="45" t="s">
        <v>778</v>
      </c>
      <c r="M43" s="2"/>
    </row>
    <row r="44" spans="1:13" ht="409.5">
      <c r="A44" s="41" t="s">
        <v>782</v>
      </c>
      <c r="B44" s="28" t="s">
        <v>783</v>
      </c>
      <c r="C44" s="46" t="s">
        <v>523</v>
      </c>
      <c r="D44" s="38" t="s">
        <v>524</v>
      </c>
      <c r="E44" s="30" t="s">
        <v>784</v>
      </c>
      <c r="F44" s="43" t="s">
        <v>785</v>
      </c>
      <c r="G44" s="28" t="s">
        <v>160</v>
      </c>
      <c r="H44" s="38" t="s">
        <v>204</v>
      </c>
      <c r="I44" s="47" t="s">
        <v>786</v>
      </c>
      <c r="J44" s="33" t="s">
        <v>787</v>
      </c>
      <c r="K44" s="33" t="s">
        <v>788</v>
      </c>
      <c r="L44" s="28"/>
      <c r="M44" s="2"/>
    </row>
    <row r="45" spans="1:13" ht="210">
      <c r="A45" s="24" t="s">
        <v>789</v>
      </c>
      <c r="B45" s="24" t="s">
        <v>790</v>
      </c>
      <c r="C45" s="24" t="s">
        <v>791</v>
      </c>
      <c r="D45" s="25" t="s">
        <v>363</v>
      </c>
      <c r="E45" s="24" t="s">
        <v>792</v>
      </c>
      <c r="F45" s="24" t="s">
        <v>793</v>
      </c>
      <c r="G45" s="24" t="s">
        <v>366</v>
      </c>
      <c r="H45" s="26" t="s">
        <v>161</v>
      </c>
      <c r="I45" s="48" t="s">
        <v>794</v>
      </c>
      <c r="J45" s="48" t="s">
        <v>795</v>
      </c>
      <c r="K45" s="48" t="s">
        <v>796</v>
      </c>
      <c r="L45" s="24" t="s">
        <v>179</v>
      </c>
      <c r="M45" s="2"/>
    </row>
    <row r="46" spans="1:13" ht="75">
      <c r="A46" s="28" t="s">
        <v>797</v>
      </c>
      <c r="B46" s="28" t="s">
        <v>798</v>
      </c>
      <c r="C46" s="28" t="s">
        <v>417</v>
      </c>
      <c r="D46" s="30" t="s">
        <v>536</v>
      </c>
      <c r="E46" s="28" t="s">
        <v>769</v>
      </c>
      <c r="F46" s="28" t="s">
        <v>799</v>
      </c>
      <c r="G46" s="28" t="s">
        <v>421</v>
      </c>
      <c r="H46" s="30" t="s">
        <v>161</v>
      </c>
      <c r="I46" s="30" t="s">
        <v>753</v>
      </c>
      <c r="J46" s="28" t="s">
        <v>800</v>
      </c>
      <c r="K46" s="28" t="s">
        <v>801</v>
      </c>
      <c r="L46" s="28"/>
      <c r="M46" s="7"/>
    </row>
    <row r="47" spans="1:13" ht="240">
      <c r="A47" s="24" t="s">
        <v>388</v>
      </c>
      <c r="B47" s="24" t="s">
        <v>389</v>
      </c>
      <c r="C47" s="25" t="s">
        <v>390</v>
      </c>
      <c r="D47" s="25" t="s">
        <v>200</v>
      </c>
      <c r="E47" s="24" t="s">
        <v>802</v>
      </c>
      <c r="F47" s="24" t="s">
        <v>803</v>
      </c>
      <c r="G47" s="32" t="s">
        <v>393</v>
      </c>
      <c r="H47" s="25" t="s">
        <v>204</v>
      </c>
      <c r="I47" s="32" t="s">
        <v>804</v>
      </c>
      <c r="J47" s="32" t="s">
        <v>395</v>
      </c>
      <c r="K47" s="32" t="s">
        <v>805</v>
      </c>
      <c r="L47" s="24"/>
      <c r="M47" s="2"/>
    </row>
    <row r="48" spans="1:13" ht="240" customHeight="1">
      <c r="A48" s="28" t="s">
        <v>806</v>
      </c>
      <c r="B48" s="28" t="s">
        <v>807</v>
      </c>
      <c r="C48" s="28" t="s">
        <v>808</v>
      </c>
      <c r="D48" s="62" t="s">
        <v>809</v>
      </c>
      <c r="E48" s="28" t="s">
        <v>792</v>
      </c>
      <c r="F48" s="33" t="s">
        <v>810</v>
      </c>
      <c r="G48" s="28" t="s">
        <v>217</v>
      </c>
      <c r="H48" s="30" t="s">
        <v>161</v>
      </c>
      <c r="I48" s="33" t="s">
        <v>811</v>
      </c>
      <c r="J48" s="33" t="s">
        <v>812</v>
      </c>
      <c r="K48" s="28" t="s">
        <v>813</v>
      </c>
      <c r="L48" s="28"/>
      <c r="M48" s="2"/>
    </row>
    <row r="49" spans="1:13" ht="240">
      <c r="A49" s="24" t="s">
        <v>814</v>
      </c>
      <c r="B49" s="24" t="s">
        <v>815</v>
      </c>
      <c r="C49" s="24" t="s">
        <v>417</v>
      </c>
      <c r="D49" s="25" t="s">
        <v>418</v>
      </c>
      <c r="E49" s="24" t="s">
        <v>816</v>
      </c>
      <c r="F49" s="24" t="s">
        <v>817</v>
      </c>
      <c r="G49" s="24" t="s">
        <v>421</v>
      </c>
      <c r="H49" s="26" t="s">
        <v>161</v>
      </c>
      <c r="I49" s="32" t="s">
        <v>422</v>
      </c>
      <c r="J49" s="32" t="s">
        <v>818</v>
      </c>
      <c r="K49" s="24" t="s">
        <v>819</v>
      </c>
      <c r="L49" s="24"/>
      <c r="M49" s="2"/>
    </row>
    <row r="50" spans="1:13" ht="409.5">
      <c r="A50" s="28" t="s">
        <v>429</v>
      </c>
      <c r="B50" s="28" t="s">
        <v>430</v>
      </c>
      <c r="C50" s="38" t="s">
        <v>431</v>
      </c>
      <c r="D50" s="38" t="s">
        <v>200</v>
      </c>
      <c r="E50" s="28" t="s">
        <v>820</v>
      </c>
      <c r="F50" s="28" t="s">
        <v>821</v>
      </c>
      <c r="G50" s="33" t="s">
        <v>434</v>
      </c>
      <c r="H50" s="38" t="s">
        <v>204</v>
      </c>
      <c r="I50" s="33" t="s">
        <v>822</v>
      </c>
      <c r="J50" s="33" t="s">
        <v>823</v>
      </c>
      <c r="K50" s="33" t="s">
        <v>824</v>
      </c>
      <c r="L50" s="28" t="s">
        <v>179</v>
      </c>
      <c r="M50" s="2"/>
    </row>
    <row r="51" spans="1:13" ht="315">
      <c r="A51" s="63" t="s">
        <v>825</v>
      </c>
      <c r="B51" s="63" t="s">
        <v>826</v>
      </c>
      <c r="C51" s="65" t="s">
        <v>443</v>
      </c>
      <c r="D51" s="65" t="s">
        <v>200</v>
      </c>
      <c r="E51" s="63" t="s">
        <v>827</v>
      </c>
      <c r="F51" s="63" t="s">
        <v>828</v>
      </c>
      <c r="G51" s="63" t="s">
        <v>270</v>
      </c>
      <c r="H51" s="65" t="s">
        <v>204</v>
      </c>
      <c r="I51" s="63" t="s">
        <v>451</v>
      </c>
      <c r="J51" s="63" t="s">
        <v>447</v>
      </c>
      <c r="K51" s="63" t="s">
        <v>448</v>
      </c>
      <c r="L51" s="63"/>
      <c r="M51" s="2"/>
    </row>
    <row r="52" spans="1:13" ht="409.5">
      <c r="A52" s="41" t="s">
        <v>829</v>
      </c>
      <c r="B52" s="28" t="s">
        <v>830</v>
      </c>
      <c r="C52" s="64" t="s">
        <v>456</v>
      </c>
      <c r="D52" s="38" t="s">
        <v>457</v>
      </c>
      <c r="E52" s="28" t="s">
        <v>831</v>
      </c>
      <c r="F52" s="28" t="s">
        <v>832</v>
      </c>
      <c r="G52" s="33" t="s">
        <v>460</v>
      </c>
      <c r="H52" s="66" t="s">
        <v>161</v>
      </c>
      <c r="I52" s="28" t="s">
        <v>833</v>
      </c>
      <c r="J52" s="33" t="s">
        <v>462</v>
      </c>
      <c r="K52" s="33" t="s">
        <v>834</v>
      </c>
      <c r="L52" s="64"/>
      <c r="M52" s="9"/>
    </row>
  </sheetData>
  <hyperlinks>
    <hyperlink ref="C21" r:id="rId1" xr:uid="{13F9625D-4697-4122-942F-A3E6C64352F2}"/>
    <hyperlink ref="C25" r:id="rId2" xr:uid="{17678DAD-8156-4F1F-B646-F188520F7D94}"/>
    <hyperlink ref="D25" r:id="rId3" xr:uid="{095EC500-66D6-47E1-B51F-D13ED5187A29}"/>
    <hyperlink ref="H25" r:id="rId4" xr:uid="{611C2565-0D16-48C7-8F6B-46E22A9C9FCD}"/>
    <hyperlink ref="D23" r:id="rId5" xr:uid="{8C249FEC-44CA-4A91-B952-529ADAAD4EAA}"/>
    <hyperlink ref="D27" r:id="rId6" xr:uid="{55AD16F9-1BE3-4D03-A244-4953F47F6662}"/>
    <hyperlink ref="D52" r:id="rId7" xr:uid="{22E01BBA-4D7D-4246-8D4F-1872233FCE3E}"/>
    <hyperlink ref="C28" r:id="rId8" xr:uid="{3E6EE261-8C03-4235-B211-585452ECB5AE}"/>
    <hyperlink ref="D28" r:id="rId9" xr:uid="{57A2835B-F540-4A4F-9162-B4119C73FCD3}"/>
    <hyperlink ref="H28" r:id="rId10" xr:uid="{0E2C8911-79F2-445D-97C9-7991398B9556}"/>
    <hyperlink ref="C29" r:id="rId11" xr:uid="{A453D4C7-6065-49A7-916B-4E0B51EB992B}"/>
    <hyperlink ref="B20" r:id="rId12" display="An individual or group responsible for facilitating and managing a community of practice (CoP). The organizer’s role involves coordinating meetings, events, and activities for the community, creating channels for communication and knowledge sharing, and fostering a supportive and inclusive environment where members feel comfortable exchanging ideas and experiences. They may also be involved in recruiting new members, setting goals and objectives for the community, and ensuring that it remains vibrant and relevant to its members’ needs and interests._x000a__x000a_Person who organizes groups of people around shared aims - see https://the-turing-way.netlify.app/collaboration/research-infrastructure-roles/community-manager.html" xr:uid="{D4DFB346-F456-4564-9B11-F8D14DABAEFE}"/>
    <hyperlink ref="C20" r:id="rId13" xr:uid="{9A6E8378-735C-4E62-92A8-9E1FCD1FDA2B}"/>
    <hyperlink ref="D20" r:id="rId14" xr:uid="{C2F2D8E7-6FAC-4EC1-BAD7-EAA40A930B6E}"/>
    <hyperlink ref="H20" r:id="rId15" xr:uid="{5189B3E4-CB60-4E81-9F84-0219732594FA}"/>
    <hyperlink ref="C30" r:id="rId16" xr:uid="{FCDB8FEA-2200-4692-8749-2F84B7111BE9}"/>
    <hyperlink ref="D30" r:id="rId17" xr:uid="{3D414BBD-50B9-41C3-81D5-2A676900E264}"/>
    <hyperlink ref="H30" r:id="rId18" xr:uid="{D7FA82C0-894E-4467-8F6B-CF0CD2AEE4C0}"/>
    <hyperlink ref="C31" r:id="rId19" xr:uid="{75176F56-C3C9-4108-8EDB-404EAACA1F03}"/>
    <hyperlink ref="C32" r:id="rId20" xr:uid="{EE27956A-5A79-4A06-8DF7-B76FCFF566BC}"/>
    <hyperlink ref="C17" r:id="rId21" xr:uid="{4CEFC126-08AD-4E77-A549-535F5AA15485}"/>
    <hyperlink ref="D17" r:id="rId22" xr:uid="{5B9D0A0F-63E1-45A6-AB36-E4380FDFF9D2}"/>
    <hyperlink ref="H17" r:id="rId23" xr:uid="{5410D301-9D67-4A66-B9CC-28418290D3C5}"/>
    <hyperlink ref="C39" r:id="rId24" xr:uid="{E530A259-523C-4639-9754-EEC53F3ABF9D}"/>
    <hyperlink ref="D39" r:id="rId25" xr:uid="{22EF9FC2-CB20-4499-AE1B-EDACCE3981BC}"/>
    <hyperlink ref="H39" r:id="rId26" xr:uid="{BAC9F79A-8B15-45BD-837F-71DD3A51A2C5}"/>
    <hyperlink ref="C40" r:id="rId27" xr:uid="{02DD80E9-06A5-495A-B92D-2B136DE03B4C}"/>
    <hyperlink ref="C41" r:id="rId28" xr:uid="{F12BDAD6-548A-4043-A3D6-010FACB349DD}"/>
    <hyperlink ref="D41" r:id="rId29" xr:uid="{25FC8E6D-0870-44E2-A530-0345CA62F881}"/>
    <hyperlink ref="H41" r:id="rId30" xr:uid="{D6F13AB7-BCE9-4FFD-83FB-A8AFF8EEFE88}"/>
    <hyperlink ref="C43" r:id="rId31" xr:uid="{AB03677F-F635-4AFD-9EDF-D597966FFFB2}"/>
    <hyperlink ref="D43" r:id="rId32" xr:uid="{AA6A8854-0ACF-4DF4-9C87-BD4A6F5AEBA2}"/>
    <hyperlink ref="H43" r:id="rId33" xr:uid="{95A7AD94-96B9-4092-85AE-D534B25EECC0}"/>
    <hyperlink ref="D44" r:id="rId34" xr:uid="{C186EFEE-EEA9-4C00-88C7-2ECE47EDB25D}"/>
    <hyperlink ref="H44" r:id="rId35" xr:uid="{EF99922A-15B2-4261-9CE2-A812BB4BD3D7}"/>
    <hyperlink ref="D45" r:id="rId36" xr:uid="{030B0F0D-3F07-4C0E-BB65-047DF1E05EBF}"/>
    <hyperlink ref="C47" r:id="rId37" xr:uid="{98B7F141-3F10-40FC-AC93-6F68D051A443}"/>
    <hyperlink ref="D47" r:id="rId38" xr:uid="{EEC88DA7-4DCC-4062-ABA2-779A6337A8C4}"/>
    <hyperlink ref="H47" r:id="rId39" xr:uid="{9231719F-BC36-4C3D-A027-1C0B024767F9}"/>
    <hyperlink ref="D49" r:id="rId40" xr:uid="{826DF898-A621-4809-9115-9DEB87DFEF3E}"/>
    <hyperlink ref="C50" r:id="rId41" xr:uid="{E4D1F0B8-84A7-4288-9ABA-9CC60D4A1EEA}"/>
    <hyperlink ref="D50" r:id="rId42" xr:uid="{1CB8F713-1FEE-4FC0-8B59-B2750BED6828}"/>
    <hyperlink ref="H50" r:id="rId43" xr:uid="{A660F6A0-F22B-49CB-B22F-59F90BC9F46C}"/>
    <hyperlink ref="C51" r:id="rId44" xr:uid="{B020A3CA-C503-45F7-85DF-CA53CC7E2C0C}"/>
    <hyperlink ref="D51" r:id="rId45" xr:uid="{3FE0C0FD-AF2F-42A6-9487-BAB6F660E850}"/>
    <hyperlink ref="H51" r:id="rId46" xr:uid="{73E576C3-414F-4459-B900-53A12719F899}"/>
    <hyperlink ref="B3" r:id="rId47" xr:uid="{2406B1A8-6F25-4115-A606-914C33E69F42}"/>
    <hyperlink ref="C3" r:id="rId48" xr:uid="{CDC2B23F-5288-4E51-9313-7F8705782A4B}"/>
    <hyperlink ref="F9" r:id="rId49" xr:uid="{2B40F57B-C3F7-434B-BFD8-7FB4F7481A44}"/>
    <hyperlink ref="C11" r:id="rId50" xr:uid="{A0C3B970-7297-4339-83BF-9D9C92E4B36E}"/>
    <hyperlink ref="C5" r:id="rId51" xr:uid="{836374CB-6432-4ACB-A35B-FEE7D7F32FCC}"/>
    <hyperlink ref="D29" r:id="rId52" xr:uid="{ACD2FBE4-399E-48F7-B999-E5FE76E0CDC5}"/>
    <hyperlink ref="D48" r:id="rId53" xr:uid="{AC299AD0-5FA2-468A-8F0C-DBA6182E4E38}"/>
  </hyperlinks>
  <pageMargins left="0.7" right="0.7" top="0.75" bottom="0.75" header="0.3" footer="0.3"/>
  <legacyDrawing r:id="rId54"/>
  <tableParts count="1">
    <tablePart r:id="rId5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14B8-21CB-4154-947F-BA6E7D688290}">
  <dimension ref="A1:X90"/>
  <sheetViews>
    <sheetView topLeftCell="A30" workbookViewId="0">
      <selection activeCell="C55" sqref="C55"/>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497</v>
      </c>
      <c r="C3" s="99" t="str">
        <f>_xlfn.XLOOKUP($B3,'2025-Personas-FAIR-cleaned'!$B$3:$B$40,'2025-Personas-FAIR-cleaned'!$D$3:$D$40)</f>
        <v>{Role defining, monitoring, and remediating data quality issues; FAIR adoption part of remit} Maintains observability, accuracy, completeness, and consistency of enterprise data.</v>
      </c>
      <c r="D3" s="99" t="str">
        <f>_xlfn.XLOOKUP($B3,'2025-Personas-FAIR-cleaned'!$B$3:$B$40,'2025-Personas-FAIR-cleaned'!$G$3:$G$40)</f>
        <v>GxP Quality Lead; Regulatory Affairs Specialist; Validation Lead</v>
      </c>
      <c r="E3" s="100" t="str">
        <f>_xlfn.XLOOKUP($B3,'2025-Personas-FAIR-cleaned'!$B$3:$B$40,'2025-Personas-FAIR-cleaned'!$H$3:$H$40)</f>
        <v>Business_Owner,Data_Steward,Lab_Manager,Project_Manager</v>
      </c>
      <c r="F3" s="99" t="str">
        <f>_xlfn.XLOOKUP($B3,'2025-Personas-FAIR-cleaned'!$B$3:$B$40,'2025-Personas-FAIR-cleaned'!$K$3:$K$40)</f>
        <v>Provides tooling that can assess data quality during its lifecyle; often in connection with enterprise catalogue or a business application</v>
      </c>
      <c r="G3" s="99" t="str">
        <f>_xlfn.XLOOKUP($B3,'2025-Personas-FAIR-cleaned'!$B$3:$B$40,'2025-Personas-FAIR-cleaned'!$O$3:$O$40)</f>
        <v>Issues: managing missing data and metadata, esp when sources are siloed. Latent gains: implementing FAIR principles would reduce these challenges and unlock efficiency, compliance, and reuse.</v>
      </c>
      <c r="H3" s="99" t="str">
        <f>_xlfn.XLOOKUP($B3,'2025-Personas-FAIR-cleaned'!$B$3:$B$40,'2025-Personas-FAIR-cleaned'!$M$3:$M$40)</f>
        <v xml:space="preserve">Data maybe FAIR but if it's of low quality it can be useless </v>
      </c>
      <c r="I3" s="99" t="str">
        <f>_xlfn.XLOOKUP($B3,'2025-Personas-FAIR-cleaned'!$B$3:$B$40,'2025-Personas-FAIR-cleaned'!$P$3:$P$40)</f>
        <v>F1 provides persistent identifiers that ensure data quality issues can be traced back to specific sources and corrected; F2 enriches metadata so quality dimensions (accuracy, completeness, timeliness) can be assessed and monitored; A1 guarantees that quality-controlled datasets remain accessible to the right users without delays; I1 enables interoperability so quality improvements in one domain flow consistently into others; R1.1 ensures reproducibility of quality checks and audits, demonstrating compliance and improvement over time.</v>
      </c>
      <c r="J3" s="1"/>
      <c r="K3" s="1"/>
      <c r="L3" s="1"/>
      <c r="M3" s="1"/>
      <c r="N3" s="1"/>
      <c r="O3" s="1"/>
      <c r="P3" s="1"/>
      <c r="Q3" s="1"/>
      <c r="R3" s="1"/>
      <c r="S3" s="1"/>
      <c r="T3" s="1"/>
      <c r="U3" s="1"/>
      <c r="V3" s="1"/>
      <c r="W3" s="1"/>
      <c r="X3" s="1"/>
    </row>
    <row r="4" spans="1:24">
      <c r="D4" s="85" t="str" cm="1">
        <f t="array" ref="D4:D6">_xlfn.TEXTSPLIT(D3,,";")</f>
        <v>GxP Quality Lead</v>
      </c>
      <c r="E4" t="s">
        <v>441</v>
      </c>
      <c r="G4" s="85" t="str" cm="1">
        <f t="array" ref="G4:G5">_xlfn.TEXTSPLIT(G3,,"Latent")</f>
        <v xml:space="preserve">Issues: managing missing data and metadata, esp when sources are siloed. </v>
      </c>
      <c r="I4" s="85" t="str" cm="1">
        <f t="array" ref="I4:I8">_xlfn.TEXTSPLIT(I3,,";")</f>
        <v>F1 provides persistent identifiers that ensure data quality issues can be traced back to specific sources and corrected</v>
      </c>
    </row>
    <row r="5" spans="1:24">
      <c r="D5" s="85" t="str">
        <v xml:space="preserve"> Regulatory Affairs Specialist</v>
      </c>
      <c r="E5" t="s">
        <v>388</v>
      </c>
      <c r="G5" t="str">
        <v xml:space="preserve"> gains: implementing FAIR principles would reduce these challenges and unlock efficiency, compliance, and reuse.</v>
      </c>
      <c r="I5" t="str">
        <v xml:space="preserve"> F2 enriches metadata so quality dimensions (accuracy, completeness, timeliness) can be assessed and monitored</v>
      </c>
    </row>
    <row r="6" spans="1:24">
      <c r="D6" s="85" t="str">
        <v xml:space="preserve"> Validation Lead</v>
      </c>
      <c r="E6" t="s">
        <v>290</v>
      </c>
      <c r="I6" t="str">
        <v xml:space="preserve"> A1 guarantees that quality-controlled datasets remain accessible to the right users without delays</v>
      </c>
    </row>
    <row r="7" spans="1:24">
      <c r="D7" s="85"/>
      <c r="E7" t="s">
        <v>251</v>
      </c>
      <c r="I7" t="str">
        <v xml:space="preserve"> I1 enables interoperability so quality improvements in one domain flow consistently into others</v>
      </c>
    </row>
    <row r="8" spans="1:24">
      <c r="D8" s="85"/>
      <c r="E8" t="s">
        <v>224</v>
      </c>
      <c r="I8" t="str">
        <v xml:space="preserve"> R1.1 ensures reproducibility of quality checks and audits, demonstrating compliance and improvement over time.</v>
      </c>
    </row>
    <row r="9" spans="1:24">
      <c r="D9" s="85"/>
      <c r="E9" t="s">
        <v>373</v>
      </c>
      <c r="F9" t="s">
        <v>441</v>
      </c>
    </row>
    <row r="10" spans="1:24">
      <c r="D10" s="85"/>
      <c r="E10" s="97"/>
      <c r="F10" t="s">
        <v>388</v>
      </c>
    </row>
    <row r="11" spans="1:24">
      <c r="E11" s="97"/>
      <c r="F11" t="s">
        <v>290</v>
      </c>
    </row>
    <row r="12" spans="1:24">
      <c r="E12" s="97"/>
      <c r="F12" t="s">
        <v>251</v>
      </c>
    </row>
    <row r="13" spans="1:24">
      <c r="F13" t="s">
        <v>224</v>
      </c>
    </row>
    <row r="14" spans="1:24">
      <c r="F14" t="s">
        <v>373</v>
      </c>
    </row>
    <row r="16" spans="1:24">
      <c r="A16" s="4" t="s">
        <v>868</v>
      </c>
      <c r="B16" s="56" t="s">
        <v>869</v>
      </c>
    </row>
    <row r="17" spans="1:3">
      <c r="A17" s="4" t="s">
        <v>870</v>
      </c>
      <c r="B17" t="str">
        <f>CONCATENATE(B3,".md")</f>
        <v>Data_Quality_Manager.md</v>
      </c>
    </row>
    <row r="19" spans="1:3" s="94" customFormat="1">
      <c r="A19" s="93" t="s">
        <v>871</v>
      </c>
    </row>
    <row r="21" spans="1:3">
      <c r="A21" t="s">
        <v>872</v>
      </c>
      <c r="B21" t="str">
        <f>B3</f>
        <v>Data_Quality_Manager</v>
      </c>
    </row>
    <row r="22" spans="1:3">
      <c r="A22" t="str">
        <f>CONCATENATE("[",B3,"]","(",B16,B3,")")</f>
        <v>[Data_Quality_Manager](https://pistoiaalliance.github.io/FAIRMaturityMatrix/FAIR_personas/Data_Quality_Manager)</v>
      </c>
    </row>
    <row r="24" spans="1:3">
      <c r="A24" t="s">
        <v>873</v>
      </c>
      <c r="B24" t="s">
        <v>874</v>
      </c>
      <c r="C24" t="str">
        <f>$B$3</f>
        <v>Data_Quality_Manager</v>
      </c>
    </row>
    <row r="25" spans="1:3" ht="43.5">
      <c r="A25" t="s">
        <v>875</v>
      </c>
      <c r="B25" s="1" t="str">
        <f>CONCATENATE(B24," ",C24)</f>
        <v>Synonyms of  Data_Quality_Manager</v>
      </c>
      <c r="C25" t="s">
        <v>875</v>
      </c>
    </row>
    <row r="26" spans="1:3">
      <c r="A26" t="s">
        <v>875</v>
      </c>
      <c r="B26" t="s">
        <v>876</v>
      </c>
      <c r="C26" t="s">
        <v>875</v>
      </c>
    </row>
    <row r="27" spans="1:3">
      <c r="A27" t="s">
        <v>875</v>
      </c>
      <c r="B27" t="str">
        <f t="shared" ref="B27:B33" si="0">D4</f>
        <v>GxP Quality Lead</v>
      </c>
      <c r="C27" t="s">
        <v>875</v>
      </c>
    </row>
    <row r="28" spans="1:3">
      <c r="A28" t="s">
        <v>875</v>
      </c>
      <c r="B28" t="str">
        <f t="shared" si="0"/>
        <v xml:space="preserve"> Regulatory Affairs Specialist</v>
      </c>
      <c r="C28" t="s">
        <v>875</v>
      </c>
    </row>
    <row r="29" spans="1:3">
      <c r="A29" t="s">
        <v>875</v>
      </c>
      <c r="B29" t="str">
        <f t="shared" si="0"/>
        <v xml:space="preserve"> Validation Lead</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Data_Quality_Manager</v>
      </c>
    </row>
    <row r="36" spans="1:3">
      <c r="A36" t="str">
        <f>C3</f>
        <v>{Role defining, monitoring, and remediating data quality issues; FAIR adoption part of remit} Maintains observability, accuracy, completeness, and consistency of enterprise data.</v>
      </c>
    </row>
    <row r="39" spans="1:3">
      <c r="A39" s="69" t="s">
        <v>878</v>
      </c>
      <c r="B39" t="s">
        <v>879</v>
      </c>
      <c r="C39" t="str">
        <f>$B$3</f>
        <v>Data_Quality_Manager</v>
      </c>
    </row>
    <row r="40" spans="1:3" ht="43.5">
      <c r="A40" t="s">
        <v>875</v>
      </c>
      <c r="B40" s="1" t="str">
        <f>CONCATENATE(B39," ",C39)</f>
        <v>FAIR persona related to  Data_Quality_Manager</v>
      </c>
      <c r="C40" t="s">
        <v>875</v>
      </c>
    </row>
    <row r="41" spans="1:3">
      <c r="A41" t="s">
        <v>875</v>
      </c>
      <c r="B41" t="s">
        <v>876</v>
      </c>
      <c r="C41" t="s">
        <v>875</v>
      </c>
    </row>
    <row r="42" spans="1:3" ht="87">
      <c r="A42" t="s">
        <v>875</v>
      </c>
      <c r="B42" s="1" t="str">
        <f>CONCATENATE("[",E4,"]","(",$B$16,E4,")")</f>
        <v>[Subject_Matter_Expert](https://pistoiaalliance.github.io/FAIRMaturityMatrix/FAIR_personas/Subject_Matter_Expert)</v>
      </c>
      <c r="C42" t="s">
        <v>875</v>
      </c>
    </row>
    <row r="43" spans="1:3">
      <c r="A43" t="s">
        <v>875</v>
      </c>
      <c r="B43" t="str">
        <f t="shared" ref="B43:B49" si="1">CONCATENATE("[",E5,"]","(",$B$16,E5,")")</f>
        <v>[Ontologist](https://pistoiaalliance.github.io/FAIRMaturityMatrix/FAIR_personas/Ontologist)</v>
      </c>
      <c r="C43" t="s">
        <v>875</v>
      </c>
    </row>
    <row r="44" spans="1:3">
      <c r="A44" t="s">
        <v>875</v>
      </c>
      <c r="B44" t="str">
        <f t="shared" si="1"/>
        <v>[Data_Standards_and_Governance_Expert](https://pistoiaalliance.github.io/FAIRMaturityMatrix/FAIR_personas/Data_Standards_and_Governance_Expert)</v>
      </c>
      <c r="C44" t="s">
        <v>875</v>
      </c>
    </row>
    <row r="45" spans="1:3">
      <c r="A45" t="s">
        <v>875</v>
      </c>
      <c r="B45" t="str">
        <f t="shared" si="1"/>
        <v>[Data_Owner](https://pistoiaalliance.github.io/FAIRMaturityMatrix/FAIR_personas/Data_Owner)</v>
      </c>
      <c r="C45" t="s">
        <v>875</v>
      </c>
    </row>
    <row r="46" spans="1:3">
      <c r="A46" t="s">
        <v>875</v>
      </c>
      <c r="B46" t="str">
        <f t="shared" si="1"/>
        <v>[Curator](https://pistoiaalliance.github.io/FAIRMaturityMatrix/FAIR_personas/Curator)</v>
      </c>
      <c r="C46" t="s">
        <v>875</v>
      </c>
    </row>
    <row r="47" spans="1:3">
      <c r="A47" t="s">
        <v>875</v>
      </c>
      <c r="B47" t="str">
        <f t="shared" si="1"/>
        <v>[Master_Data_Manager](https://pistoiaalliance.github.io/FAIRMaturityMatrix/FAIR_personas/Master_Data_Manager)</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Data_Quality_Manager</v>
      </c>
    </row>
    <row r="52" spans="1:3">
      <c r="A52" t="str">
        <f>F3</f>
        <v>Provides tooling that can assess data quality during its lifecyle; often in connection with enterprise catalogue or a business application</v>
      </c>
    </row>
    <row r="55" spans="1:3">
      <c r="A55" t="s">
        <v>881</v>
      </c>
      <c r="B55" s="69" t="s">
        <v>882</v>
      </c>
      <c r="C55" t="str">
        <f>$B$3</f>
        <v>Data_Quality_Manager</v>
      </c>
    </row>
    <row r="56" spans="1:3">
      <c r="A56" t="s">
        <v>883</v>
      </c>
      <c r="B56" t="s">
        <v>884</v>
      </c>
      <c r="C56" t="str">
        <f>$B$3</f>
        <v>Data_Quality_Manager</v>
      </c>
    </row>
    <row r="57" spans="1:3">
      <c r="A57" t="str">
        <f>G4</f>
        <v xml:space="preserve">Issues: managing missing data and metadata, esp when sources are siloed. </v>
      </c>
    </row>
    <row r="58" spans="1:3">
      <c r="A58" t="s">
        <v>883</v>
      </c>
      <c r="B58" t="s">
        <v>885</v>
      </c>
      <c r="C58" t="str">
        <f>$B$3</f>
        <v>Data_Quality_Manager</v>
      </c>
    </row>
    <row r="59" spans="1:3">
      <c r="A59" t="str">
        <f>CONCATENATE("Latent ",G5)</f>
        <v>Latent  gains: implementing FAIR principles would reduce these challenges and unlock efficiency, compliance, and reuse.</v>
      </c>
    </row>
    <row r="62" spans="1:3">
      <c r="A62" t="s">
        <v>873</v>
      </c>
      <c r="B62" s="69" t="s">
        <v>886</v>
      </c>
      <c r="C62" t="str">
        <f>$B$3</f>
        <v>Data_Quality_Manager</v>
      </c>
    </row>
    <row r="63" spans="1:3">
      <c r="A63" s="69" t="str">
        <f>H3</f>
        <v xml:space="preserve">Data maybe FAIR but if it's of low quality it can be useless </v>
      </c>
    </row>
    <row r="64" spans="1:3">
      <c r="B64" s="69"/>
    </row>
    <row r="65" spans="1:2">
      <c r="A65" t="s">
        <v>883</v>
      </c>
      <c r="B65" t="str">
        <f>LEFT(A66,3)</f>
        <v xml:space="preserve">F1 </v>
      </c>
    </row>
    <row r="66" spans="1:2">
      <c r="A66" t="str">
        <f>I4</f>
        <v>F1 provides persistent identifiers that ensure data quality issues can be traced back to specific sources and corrected</v>
      </c>
    </row>
    <row r="67" spans="1:2">
      <c r="A67" t="s">
        <v>883</v>
      </c>
      <c r="B67" t="str">
        <f>LEFT(A68,3)</f>
        <v xml:space="preserve"> F2</v>
      </c>
    </row>
    <row r="68" spans="1:2">
      <c r="A68" t="str">
        <f>I5</f>
        <v xml:space="preserve"> F2 enriches metadata so quality dimensions (accuracy, completeness, timeliness) can be assessed and monitored</v>
      </c>
    </row>
    <row r="69" spans="1:2">
      <c r="A69" t="s">
        <v>883</v>
      </c>
      <c r="B69" t="str">
        <f>LEFT(A70,3)</f>
        <v xml:space="preserve"> A1</v>
      </c>
    </row>
    <row r="70" spans="1:2">
      <c r="A70" t="str">
        <f>I6</f>
        <v xml:space="preserve"> A1 guarantees that quality-controlled datasets remain accessible to the right users without delays</v>
      </c>
    </row>
    <row r="71" spans="1:2">
      <c r="A71" t="s">
        <v>883</v>
      </c>
      <c r="B71" t="str">
        <f>LEFT(A72,3)</f>
        <v xml:space="preserve"> I1</v>
      </c>
    </row>
    <row r="72" spans="1:2">
      <c r="A72" t="str">
        <f>I7</f>
        <v xml:space="preserve"> I1 enables interoperability so quality improvements in one domain flow consistently into others</v>
      </c>
    </row>
    <row r="73" spans="1:2">
      <c r="A73" t="s">
        <v>883</v>
      </c>
      <c r="B73" t="str">
        <f>LEFT(A74,3)</f>
        <v xml:space="preserve"> R1</v>
      </c>
    </row>
    <row r="74" spans="1:2">
      <c r="A74" t="str">
        <f>I8</f>
        <v xml:space="preserve"> R1.1 ensures reproducibility of quality checks and audits, demonstrating compliance and improvement over time.</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1D2D50A2-99F0-4EF2-952A-F6B08505A95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683D6A-E5DA-40C0-A2B4-C7AC106A1EB6}">
          <x14:formula1>
            <xm:f>'2025-Personas-FAIR-cleaned'!$B$3:$B$40</xm:f>
          </x14:formula1>
          <xm:sqref>B3 E10:E12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BF88-79BF-4E21-A043-855E0885C39A}">
  <dimension ref="A1:X90"/>
  <sheetViews>
    <sheetView topLeftCell="A25" workbookViewId="0">
      <selection activeCell="A42" sqref="A42:C47"/>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265</v>
      </c>
      <c r="C3" s="99" t="str">
        <f>_xlfn.XLOOKUP($B3,'2025-Personas-FAIR-cleaned'!$B$3:$B$40,'2025-Personas-FAIR-cleaned'!$D$3:$D$40)</f>
        <v>Ensures compliance with privacy, regulatory, and security requirements.</v>
      </c>
      <c r="D3" s="99" t="str">
        <f>_xlfn.XLOOKUP($B3,'2025-Personas-FAIR-cleaned'!$B$3:$B$40,'2025-Personas-FAIR-cleaned'!$G$3:$G$40)</f>
        <v>Data Privacy Officer;  Data Security Officer</v>
      </c>
      <c r="E3" s="100" t="str">
        <f>_xlfn.XLOOKUP($B3,'2025-Personas-FAIR-cleaned'!$B$3:$B$40,'2025-Personas-FAIR-cleaned'!$H$3:$H$40)</f>
        <v>Business_Leader,Data_Owner,Data_Steward</v>
      </c>
      <c r="F3" s="99" t="str">
        <f>_xlfn.XLOOKUP($B3,'2025-Personas-FAIR-cleaned'!$B$3:$B$40,'2025-Personas-FAIR-cleaned'!$K$3:$K$40)</f>
        <v>Ensures that research, clinical, and operational data practices comply with GDPR, HIPAA, and other international regulations. Their tasks include reviewing data governance policies, monitoring cross-border data transfers, and advising R&amp;D and IT teams, e.g. on privacy-by-design practices. They work closely with clinical operations to oversee the lawful use of patient and trial data, ensuring consent and data-use conditions are accurately captured and respected. Conducts regular audits, risk assessments, and staff training to reinforce compliance culture across the organization. Act as the bridge between regulators, business leaders, and scientists, balancing the drive for data sharing and data-driven innovation with the company’s obligations to protect privacy, security, and trust.</v>
      </c>
      <c r="G3" s="99" t="str">
        <f>_xlfn.XLOOKUP($B3,'2025-Personas-FAIR-cleaned'!$B$3:$B$40,'2025-Personas-FAIR-cleaned'!$O$3:$O$40)</f>
        <v>Issues: risk of data breaches if data management doesn't include security at all levels. Latent gains: implementing FAIR principles would reduce these challenges and unlock efficiency, compliance, and reuse.</v>
      </c>
      <c r="H3" s="99" t="str">
        <f>_xlfn.XLOOKUP($B3,'2025-Personas-FAIR-cleaned'!$B$3:$B$40,'2025-Personas-FAIR-cleaned'!$M$3:$M$40)</f>
        <v>Data may be FAIR on paper but cannot be used widely without the right security measures - esp for propriatory and data and data containing – A1.2 guarantees controlled access for privacy compliance; R1.1 ensures reproducible compliance evidence.</v>
      </c>
      <c r="I3" s="99" t="str">
        <f>_xlfn.XLOOKUP($B3,'2025-Personas-FAIR-cleaned'!$B$3:$B$40,'2025-Personas-FAIR-cleaned'!$P$3:$P$40)</f>
        <v>A1.2 enforces controlled access for privacy compliance; R1.1 guarantees reproducibility of compliance evidence</v>
      </c>
      <c r="J3" s="1"/>
      <c r="K3" s="1"/>
      <c r="L3" s="1"/>
      <c r="M3" s="1"/>
      <c r="N3" s="1"/>
      <c r="O3" s="1"/>
      <c r="P3" s="1"/>
      <c r="Q3" s="1"/>
      <c r="R3" s="1"/>
      <c r="S3" s="1"/>
      <c r="T3" s="1"/>
      <c r="U3" s="1"/>
      <c r="V3" s="1"/>
      <c r="W3" s="1"/>
      <c r="X3" s="1"/>
    </row>
    <row r="4" spans="1:24">
      <c r="D4" s="85" t="str" cm="1">
        <f t="array" ref="D4:D5">_xlfn.TEXTSPLIT(D3,,";")</f>
        <v>Data Privacy Officer</v>
      </c>
      <c r="E4" t="s">
        <v>183</v>
      </c>
      <c r="G4" s="85" t="str" cm="1">
        <f t="array" ref="G4:G5">_xlfn.TEXTSPLIT(G3,,"Latent")</f>
        <v xml:space="preserve">Issues: risk of data breaches if data management doesn't include security at all levels. </v>
      </c>
      <c r="I4" s="85" t="str" cm="1">
        <f t="array" ref="I4:I5">_xlfn.TEXTSPLIT(I3,,";")</f>
        <v>A1.2 enforces controlled access for privacy compliance</v>
      </c>
    </row>
    <row r="5" spans="1:24">
      <c r="D5" s="85" t="str">
        <v xml:space="preserve">  Data Security Officer</v>
      </c>
      <c r="E5" t="s">
        <v>211</v>
      </c>
      <c r="G5" t="str">
        <v xml:space="preserve"> gains: implementing FAIR principles would reduce these challenges and unlock efficiency, compliance, and reuse.</v>
      </c>
      <c r="I5" t="str">
        <v xml:space="preserve"> R1.1 guarantees reproducibility of compliance evidence</v>
      </c>
    </row>
    <row r="6" spans="1:24">
      <c r="D6" s="85"/>
      <c r="E6" t="s">
        <v>290</v>
      </c>
    </row>
    <row r="7" spans="1:24">
      <c r="D7" s="85"/>
      <c r="E7" t="s">
        <v>402</v>
      </c>
    </row>
    <row r="8" spans="1:24">
      <c r="D8" s="85"/>
      <c r="E8" t="s">
        <v>454</v>
      </c>
    </row>
    <row r="9" spans="1:24">
      <c r="D9" s="85"/>
      <c r="E9" t="s">
        <v>533</v>
      </c>
    </row>
    <row r="10" spans="1:24">
      <c r="D10" s="85"/>
      <c r="E10" s="97"/>
    </row>
    <row r="11" spans="1:24">
      <c r="E11" s="97"/>
    </row>
    <row r="12" spans="1:24">
      <c r="E12" s="97"/>
    </row>
    <row r="16" spans="1:24">
      <c r="A16" s="4" t="s">
        <v>868</v>
      </c>
      <c r="B16" s="56" t="s">
        <v>869</v>
      </c>
    </row>
    <row r="17" spans="1:3">
      <c r="A17" s="4" t="s">
        <v>870</v>
      </c>
      <c r="B17" t="str">
        <f>CONCATENATE(B3,".md")</f>
        <v>Data_Protection_Officer.md</v>
      </c>
    </row>
    <row r="19" spans="1:3" s="94" customFormat="1">
      <c r="A19" s="93" t="s">
        <v>871</v>
      </c>
    </row>
    <row r="21" spans="1:3">
      <c r="A21" t="s">
        <v>872</v>
      </c>
      <c r="B21" t="str">
        <f>B3</f>
        <v>Data_Protection_Officer</v>
      </c>
    </row>
    <row r="22" spans="1:3">
      <c r="A22" t="str">
        <f>CONCATENATE("[",B3,"]","(",B16,B3,")")</f>
        <v>[Data_Protection_Officer](https://pistoiaalliance.github.io/FAIRMaturityMatrix/FAIR_personas/Data_Protection_Officer)</v>
      </c>
    </row>
    <row r="24" spans="1:3">
      <c r="A24" t="s">
        <v>873</v>
      </c>
      <c r="B24" t="s">
        <v>874</v>
      </c>
      <c r="C24" t="str">
        <f>$B$3</f>
        <v>Data_Protection_Officer</v>
      </c>
    </row>
    <row r="25" spans="1:3" ht="43.5">
      <c r="A25" t="s">
        <v>875</v>
      </c>
      <c r="B25" s="1" t="str">
        <f>CONCATENATE(B24," ",C24)</f>
        <v>Synonyms of  Data_Protection_Officer</v>
      </c>
      <c r="C25" t="s">
        <v>875</v>
      </c>
    </row>
    <row r="26" spans="1:3">
      <c r="A26" t="s">
        <v>875</v>
      </c>
      <c r="B26" t="s">
        <v>876</v>
      </c>
      <c r="C26" t="s">
        <v>875</v>
      </c>
    </row>
    <row r="27" spans="1:3">
      <c r="A27" t="s">
        <v>875</v>
      </c>
      <c r="B27" t="str">
        <f t="shared" ref="B27:B33" si="0">D4</f>
        <v>Data Privacy Officer</v>
      </c>
      <c r="C27" t="s">
        <v>875</v>
      </c>
    </row>
    <row r="28" spans="1:3">
      <c r="A28" t="s">
        <v>875</v>
      </c>
      <c r="B28" t="str">
        <f t="shared" si="0"/>
        <v xml:space="preserve">  Data Security Officer</v>
      </c>
      <c r="C28" t="s">
        <v>875</v>
      </c>
    </row>
    <row r="29" spans="1:3">
      <c r="A29" t="s">
        <v>875</v>
      </c>
      <c r="B29">
        <f t="shared" si="0"/>
        <v>0</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Data_Protection_Officer</v>
      </c>
    </row>
    <row r="36" spans="1:3">
      <c r="A36" t="str">
        <f>C3</f>
        <v>Ensures compliance with privacy, regulatory, and security requirements.</v>
      </c>
    </row>
    <row r="39" spans="1:3">
      <c r="A39" s="69" t="s">
        <v>878</v>
      </c>
      <c r="B39" t="s">
        <v>879</v>
      </c>
      <c r="C39" t="str">
        <f>$B$3</f>
        <v>Data_Protection_Officer</v>
      </c>
    </row>
    <row r="40" spans="1:3" ht="43.5">
      <c r="A40" t="s">
        <v>875</v>
      </c>
      <c r="B40" s="1" t="str">
        <f>CONCATENATE(B39," ",C39)</f>
        <v>FAIR persona related to  Data_Protection_Officer</v>
      </c>
      <c r="C40" t="s">
        <v>875</v>
      </c>
    </row>
    <row r="41" spans="1:3">
      <c r="A41" t="s">
        <v>875</v>
      </c>
      <c r="B41" t="s">
        <v>876</v>
      </c>
      <c r="C41" t="s">
        <v>875</v>
      </c>
    </row>
    <row r="42" spans="1:3" ht="87">
      <c r="A42" t="s">
        <v>875</v>
      </c>
      <c r="B42" s="1" t="str">
        <f>CONCATENATE("[",E4,"]","(",$B$16,E4,")")</f>
        <v>[Business_Owner](https://pistoiaalliance.github.io/FAIRMaturityMatrix/FAIR_personas/Business_Owner)</v>
      </c>
      <c r="C42" t="s">
        <v>875</v>
      </c>
    </row>
    <row r="43" spans="1:3">
      <c r="A43" t="s">
        <v>875</v>
      </c>
      <c r="B43" t="str">
        <f t="shared" ref="B43:B49" si="1">CONCATENATE("[",E5,"]","(",$B$16,E5,")")</f>
        <v>[Clinical_Data_Manager](https://pistoiaalliance.github.io/FAIRMaturityMatrix/FAIR_personas/Clinical_Data_Manager)</v>
      </c>
      <c r="C43" t="s">
        <v>875</v>
      </c>
    </row>
    <row r="44" spans="1:3">
      <c r="A44" t="s">
        <v>875</v>
      </c>
      <c r="B44" t="str">
        <f t="shared" si="1"/>
        <v>[Data_Standards_and_Governance_Expert](https://pistoiaalliance.github.io/FAIRMaturityMatrix/FAIR_personas/Data_Standards_and_Governance_Expert)</v>
      </c>
      <c r="C44" t="s">
        <v>875</v>
      </c>
    </row>
    <row r="45" spans="1:3">
      <c r="A45" t="s">
        <v>875</v>
      </c>
      <c r="B45" t="str">
        <f t="shared" si="1"/>
        <v>[Project_Manager](https://pistoiaalliance.github.io/FAIRMaturityMatrix/FAIR_personas/Project_Manager)</v>
      </c>
      <c r="C45" t="s">
        <v>875</v>
      </c>
    </row>
    <row r="46" spans="1:3">
      <c r="A46" t="s">
        <v>875</v>
      </c>
      <c r="B46" t="str">
        <f t="shared" si="1"/>
        <v>[Technology_Leader](https://pistoiaalliance.github.io/FAIRMaturityMatrix/FAIR_personas/Technology_Leader)</v>
      </c>
      <c r="C46" t="s">
        <v>875</v>
      </c>
    </row>
    <row r="47" spans="1:3">
      <c r="A47" t="s">
        <v>875</v>
      </c>
      <c r="B47" t="str">
        <f t="shared" si="1"/>
        <v>[Legal_Data_Expert](https://pistoiaalliance.github.io/FAIRMaturityMatrix/FAIR_personas/Legal_Data_Expert)</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Data_Protection_Officer</v>
      </c>
    </row>
    <row r="52" spans="1:3">
      <c r="A52" t="str">
        <f>F3</f>
        <v>Ensures that research, clinical, and operational data practices comply with GDPR, HIPAA, and other international regulations. Their tasks include reviewing data governance policies, monitoring cross-border data transfers, and advising R&amp;D and IT teams, e.g. on privacy-by-design practices. They work closely with clinical operations to oversee the lawful use of patient and trial data, ensuring consent and data-use conditions are accurately captured and respected. Conducts regular audits, risk assessments, and staff training to reinforce compliance culture across the organization. Act as the bridge between regulators, business leaders, and scientists, balancing the drive for data sharing and data-driven innovation with the company’s obligations to protect privacy, security, and trust.</v>
      </c>
    </row>
    <row r="55" spans="1:3">
      <c r="A55" t="s">
        <v>881</v>
      </c>
      <c r="B55" s="69" t="s">
        <v>882</v>
      </c>
      <c r="C55" t="str">
        <f>$B$3</f>
        <v>Data_Protection_Officer</v>
      </c>
    </row>
    <row r="56" spans="1:3">
      <c r="A56" t="s">
        <v>883</v>
      </c>
      <c r="B56" t="s">
        <v>884</v>
      </c>
      <c r="C56" t="str">
        <f>$B$3</f>
        <v>Data_Protection_Officer</v>
      </c>
    </row>
    <row r="57" spans="1:3">
      <c r="A57" t="str">
        <f>G4</f>
        <v xml:space="preserve">Issues: risk of data breaches if data management doesn't include security at all levels. </v>
      </c>
    </row>
    <row r="58" spans="1:3">
      <c r="A58" t="s">
        <v>883</v>
      </c>
      <c r="B58" t="s">
        <v>885</v>
      </c>
      <c r="C58" t="str">
        <f>$B$3</f>
        <v>Data_Protection_Officer</v>
      </c>
    </row>
    <row r="59" spans="1:3">
      <c r="A59" t="str">
        <f>CONCATENATE("Latent ",G5)</f>
        <v>Latent  gains: implementing FAIR principles would reduce these challenges and unlock efficiency, compliance, and reuse.</v>
      </c>
    </row>
    <row r="62" spans="1:3">
      <c r="A62" t="s">
        <v>873</v>
      </c>
      <c r="B62" s="69" t="s">
        <v>886</v>
      </c>
      <c r="C62" t="str">
        <f>$B$3</f>
        <v>Data_Protection_Officer</v>
      </c>
    </row>
    <row r="63" spans="1:3">
      <c r="A63" s="69" t="str">
        <f>H3</f>
        <v>Data may be FAIR on paper but cannot be used widely without the right security measures - esp for propriatory and data and data containing – A1.2 guarantees controlled access for privacy compliance; R1.1 ensures reproducible compliance evidence.</v>
      </c>
    </row>
    <row r="64" spans="1:3">
      <c r="B64" s="69"/>
    </row>
    <row r="65" spans="1:2">
      <c r="A65" t="s">
        <v>883</v>
      </c>
      <c r="B65" t="str">
        <f>LEFT(A66,3)</f>
        <v>A1.</v>
      </c>
    </row>
    <row r="66" spans="1:2">
      <c r="A66" t="str">
        <f>I4</f>
        <v>A1.2 enforces controlled access for privacy compliance</v>
      </c>
    </row>
    <row r="67" spans="1:2">
      <c r="A67" t="s">
        <v>883</v>
      </c>
      <c r="B67" t="str">
        <f>LEFT(A68,3)</f>
        <v xml:space="preserve"> R1</v>
      </c>
    </row>
    <row r="68" spans="1:2">
      <c r="A68" t="str">
        <f>I5</f>
        <v xml:space="preserve"> R1.1 guarantees reproducibility of compliance evidence</v>
      </c>
    </row>
    <row r="69" spans="1:2">
      <c r="A69" t="s">
        <v>883</v>
      </c>
      <c r="B69" t="str">
        <f>LEFT(A70,3)</f>
        <v>0</v>
      </c>
    </row>
    <row r="70" spans="1:2">
      <c r="A70">
        <f>I6</f>
        <v>0</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9A6DF1A1-D355-4E51-90A0-9B0180116E3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7B551D0-2FC3-4AEE-B8D0-F0E26B17E09C}">
          <x14:formula1>
            <xm:f>'2025-Personas-FAIR-cleaned'!$B$3:$B$40</xm:f>
          </x14:formula1>
          <xm:sqref>B3 E10:E12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FC201-ED4B-4C49-9591-0837436AF9DB}">
  <dimension ref="A1:X90"/>
  <sheetViews>
    <sheetView workbookViewId="0">
      <selection activeCell="C8" sqref="C8"/>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483</v>
      </c>
      <c r="C3" s="99" t="str">
        <f>_xlfn.XLOOKUP($B3,'2025-Personas-FAIR-cleaned'!$B$3:$B$40,'2025-Personas-FAIR-cleaned'!$D$3:$D$40)</f>
        <v>A Data Integration Specialist focuses specifically on combining and connecting data from different sources. Their main job is to make sure data from multiple databases and systems works together smoothly, allowing organizations to use all their information more effectively. [RS] --&gt; A Data Integration Specialist focuses on combining data from different sources, ensuring that data from various systems can work together. Their main tasks include designing ETL (Extract, Transform, Load) processes, creating data mappings, and solving integration issues so data flows smoothly between platforms.</v>
      </c>
      <c r="D3" s="99" t="str">
        <f>_xlfn.XLOOKUP($B3,'2025-Personas-FAIR-cleaned'!$B$3:$B$40,'2025-Personas-FAIR-cleaned'!$G$3:$G$40)</f>
        <v xml:space="preserve">Data Engineer [GN: this does not seem right] [RS]: Data Integration Engineer
</v>
      </c>
      <c r="E3" s="100" t="str">
        <f>_xlfn.XLOOKUP($B3,'2025-Personas-FAIR-cleaned'!$B$3:$B$40,'2025-Personas-FAIR-cleaned'!$H$3:$H$40)</f>
        <v>Business_Analyst,Data_Steward,Researcher</v>
      </c>
      <c r="F3" s="99" t="str">
        <f>_xlfn.XLOOKUP($B3,'2025-Personas-FAIR-cleaned'!$B$3:$B$40,'2025-Personas-FAIR-cleaned'!$K$3:$K$40)</f>
        <v>[RS] A Data Integration Specialist locates and connects data from diverse sources, ensuring smooth and accurate integration of data into workflows, pipelines, or models. They focus on making sure that combined data outputs are correct and accessible to downstream users or systems, enabling seamless data flow and interoperability across platforms.</v>
      </c>
      <c r="G3" s="99" t="str">
        <f>_xlfn.XLOOKUP($B3,'2025-Personas-FAIR-cleaned'!$B$3:$B$40,'2025-Personas-FAIR-cleaned'!$O$3:$O$40)</f>
        <v>Issues: Missing data standards or different practices while handling the same type of data make workflow integrations complex.. Latent gains: implementing FAIR principles would reduce these challenges and unlock efficiency, compliance, and reuse.</v>
      </c>
      <c r="H3" s="99" t="str">
        <f>_xlfn.XLOOKUP($B3,'2025-Personas-FAIR-cleaned'!$B$3:$B$40,'2025-Personas-FAIR-cleaned'!$M$3:$M$40)</f>
        <v>ensures FAIR data implementation by developing and maintaining systems that enable seamless data interoperability and integration across different platforms. They ensure data is accessible and compatible by utilizing standardized protocols and formats, promoting efficient data sharing and reuse. {()} {[( F1, A1, I1, R1.1 )]} – F1 provides general benefit for this role; A1 provides general benefit for this role; I1 provides general benefit for this role; R1.1 provides general benefit for this role.Issues: [RS] --&gt; Data Integration Specialists often encounter challenges such as ensuring data quality when merging information from different sources, including handling missing or inconsistent data. They must reconcile varying formats and schemas, making sure diverse systems can communicate effectively. Managing large volumes of data and scaling integration solutions to meet organizational demands is another hurdle. Additionally, they face challenges in maintaining secure data transfers, adhering to privacy regulations, and keeping up with frequent changes in source systems which can disrupt integrations. Monitoring and resolving errors to maintain consistent, reliable data flow is a critical ongoing task.</v>
      </c>
      <c r="I3" s="99" t="str">
        <f>_xlfn.XLOOKUP($B3,'2025-Personas-FAIR-cleaned'!$B$3:$B$40,'2025-Personas-FAIR-cleaned'!$P$3:$P$40)</f>
        <v>F1 ensures that data flowing through pipelines is consistently identified with persistent IDs, reducing errors in integration; F2 provides metadata that describes datasets clearly, allowing automated mapping and transformation between systems; A1 guarantees that integrated systems can access source data reliably through standardized protocols; I1 enables semantic interoperability, so data from different domains can be combined without manual reconciliation; I2 supports automated integration processes, reducing maintenance and speeding deployment of new pipelines.</v>
      </c>
      <c r="J3" s="1"/>
      <c r="K3" s="1"/>
      <c r="L3" s="1"/>
      <c r="M3" s="1"/>
      <c r="N3" s="1"/>
      <c r="O3" s="1"/>
      <c r="P3" s="1"/>
      <c r="Q3" s="1"/>
      <c r="R3" s="1"/>
      <c r="S3" s="1"/>
      <c r="T3" s="1"/>
      <c r="U3" s="1"/>
      <c r="V3" s="1"/>
      <c r="W3" s="1"/>
      <c r="X3" s="1"/>
    </row>
    <row r="4" spans="1:24">
      <c r="D4" s="85" t="str" cm="1">
        <f t="array" ref="D4">_xlfn.TEXTSPLIT(D3,,";")</f>
        <v xml:space="preserve">Data Engineer [GN: this does not seem right] [RS]: Data Integration Engineer
</v>
      </c>
      <c r="E4" s="85" t="str" cm="1">
        <f t="array" ref="E4:E6">_xlfn.TEXTSPLIT(E3,,",")</f>
        <v>Business_Analyst</v>
      </c>
      <c r="G4" s="85" t="str" cm="1">
        <f t="array" ref="G4:G5">_xlfn.TEXTSPLIT(G3,,"Latent")</f>
        <v xml:space="preserve">Issues: Missing data standards or different practices while handling the same type of data make workflow integrations complex.. </v>
      </c>
      <c r="I4" s="85" t="str" cm="1">
        <f t="array" ref="I4:I8">_xlfn.TEXTSPLIT(I3,,";")</f>
        <v>F1 ensures that data flowing through pipelines is consistently identified with persistent IDs, reducing errors in integration</v>
      </c>
    </row>
    <row r="5" spans="1:24">
      <c r="D5" s="85"/>
      <c r="E5" s="97" t="str">
        <v>Data_Steward</v>
      </c>
      <c r="G5" t="str">
        <v xml:space="preserve"> gains: implementing FAIR principles would reduce these challenges and unlock efficiency, compliance, and reuse.</v>
      </c>
      <c r="I5" t="str">
        <v xml:space="preserve"> F2 provides metadata that describes datasets clearly, allowing automated mapping and transformation between systems</v>
      </c>
    </row>
    <row r="6" spans="1:24">
      <c r="D6" s="85"/>
      <c r="E6" s="97" t="str">
        <v>Researcher</v>
      </c>
      <c r="I6" t="str">
        <v xml:space="preserve"> A1 guarantees that integrated systems can access source data reliably through standardized protocols</v>
      </c>
    </row>
    <row r="7" spans="1:24">
      <c r="D7" s="85"/>
      <c r="E7" s="97"/>
      <c r="I7" t="str">
        <v xml:space="preserve"> I1 enables semantic interoperability, so data from different domains can be combined without manual reconciliation</v>
      </c>
    </row>
    <row r="8" spans="1:24">
      <c r="D8" s="85"/>
      <c r="E8" s="97"/>
      <c r="I8" t="str">
        <v xml:space="preserve"> I2 supports automated integration processes, reducing maintenance and speeding deployment of new pipelines.</v>
      </c>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Data_Integration_Specialist.md</v>
      </c>
    </row>
    <row r="19" spans="1:3" s="94" customFormat="1">
      <c r="A19" s="93" t="s">
        <v>871</v>
      </c>
    </row>
    <row r="21" spans="1:3">
      <c r="A21" t="s">
        <v>872</v>
      </c>
      <c r="B21" t="str">
        <f>B3</f>
        <v>Data_Integration_Specialist</v>
      </c>
    </row>
    <row r="22" spans="1:3">
      <c r="A22" t="str">
        <f>CONCATENATE("[",B3,"]","(",B16,B3,")")</f>
        <v>[Data_Integration_Specialist](https://pistoiaalliance.github.io/FAIRMaturityMatrix/FAIR_personas/Data_Integration_Specialist)</v>
      </c>
    </row>
    <row r="24" spans="1:3">
      <c r="A24" t="s">
        <v>873</v>
      </c>
      <c r="B24" t="s">
        <v>874</v>
      </c>
      <c r="C24" t="str">
        <f>$B$3</f>
        <v>Data_Integration_Specialist</v>
      </c>
    </row>
    <row r="25" spans="1:3" ht="29.25">
      <c r="A25" t="s">
        <v>875</v>
      </c>
      <c r="B25" s="1" t="str">
        <f>CONCATENATE(B24," ",C24)</f>
        <v>Synonyms of  Data_Integration_Specialist</v>
      </c>
      <c r="C25" t="s">
        <v>875</v>
      </c>
    </row>
    <row r="26" spans="1:3">
      <c r="A26" t="s">
        <v>875</v>
      </c>
      <c r="B26" t="s">
        <v>876</v>
      </c>
      <c r="C26" t="s">
        <v>875</v>
      </c>
    </row>
    <row r="27" spans="1:3">
      <c r="A27" t="s">
        <v>875</v>
      </c>
      <c r="B27" t="str">
        <f t="shared" ref="B27:B33" si="0">D4</f>
        <v xml:space="preserve">Data Engineer [GN: this does not seem right] [RS]: Data Integration Engineer
</v>
      </c>
      <c r="C27" t="s">
        <v>875</v>
      </c>
    </row>
    <row r="28" spans="1:3">
      <c r="A28" t="s">
        <v>875</v>
      </c>
      <c r="B28">
        <f t="shared" si="0"/>
        <v>0</v>
      </c>
      <c r="C28" t="s">
        <v>875</v>
      </c>
    </row>
    <row r="29" spans="1:3">
      <c r="A29" t="s">
        <v>875</v>
      </c>
      <c r="B29">
        <f t="shared" si="0"/>
        <v>0</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Data_Integration_Specialist</v>
      </c>
    </row>
    <row r="36" spans="1:3">
      <c r="A36" t="str">
        <f>C3</f>
        <v>A Data Integration Specialist focuses specifically on combining and connecting data from different sources. Their main job is to make sure data from multiple databases and systems works together smoothly, allowing organizations to use all their information more effectively. [RS] --&gt; A Data Integration Specialist focuses on combining data from different sources, ensuring that data from various systems can work together. Their main tasks include designing ETL (Extract, Transform, Load) processes, creating data mappings, and solving integration issues so data flows smoothly between platforms.</v>
      </c>
    </row>
    <row r="39" spans="1:3">
      <c r="A39" s="69" t="s">
        <v>878</v>
      </c>
      <c r="B39" t="s">
        <v>879</v>
      </c>
      <c r="C39" t="str">
        <f>$B$3</f>
        <v>Data_Integration_Specialist</v>
      </c>
    </row>
    <row r="40" spans="1:3" ht="29.25">
      <c r="A40" t="s">
        <v>875</v>
      </c>
      <c r="B40" s="1" t="str">
        <f>CONCATENATE(B39," ",C39)</f>
        <v>FAIR persona related to  Data_Integration_Specialist</v>
      </c>
      <c r="C40" t="s">
        <v>875</v>
      </c>
    </row>
    <row r="41" spans="1:3">
      <c r="A41" t="s">
        <v>875</v>
      </c>
      <c r="B41" t="s">
        <v>876</v>
      </c>
      <c r="C41" t="s">
        <v>875</v>
      </c>
    </row>
    <row r="42" spans="1:3" ht="87">
      <c r="A42" t="s">
        <v>875</v>
      </c>
      <c r="B42" s="1" t="str">
        <f>CONCATENATE("[",E4,"]","(",$B$16,E4,")")</f>
        <v>[Business_Analyst](https://pistoiaalliance.github.io/FAIRMaturityMatrix/FAIR_personas/Business_Analyst)</v>
      </c>
      <c r="C42" t="s">
        <v>875</v>
      </c>
    </row>
    <row r="43" spans="1:3">
      <c r="A43" t="s">
        <v>875</v>
      </c>
      <c r="B43" t="str">
        <f t="shared" ref="B43:B49" si="1">CONCATENATE("[",E5,"]","(",$B$16,E5,")")</f>
        <v>[Data_Steward](https://pistoiaalliance.github.io/FAIRMaturityMatrix/FAIR_personas/Data_Steward)</v>
      </c>
      <c r="C43" t="s">
        <v>875</v>
      </c>
    </row>
    <row r="44" spans="1:3">
      <c r="A44" t="s">
        <v>875</v>
      </c>
      <c r="B44" t="str">
        <f t="shared" si="1"/>
        <v>[Researcher](https://pistoiaalliance.github.io/FAIRMaturityMatrix/FAIR_personas/Researcher)</v>
      </c>
      <c r="C44" t="s">
        <v>875</v>
      </c>
    </row>
    <row r="45" spans="1:3">
      <c r="A45" t="s">
        <v>875</v>
      </c>
      <c r="B45" t="str">
        <f t="shared" si="1"/>
        <v>[](https://pistoiaalliance.github.io/FAIRMaturityMatrix/FAIR_personas/)</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Data_Integration_Specialist</v>
      </c>
    </row>
    <row r="52" spans="1:3">
      <c r="A52" t="str">
        <f>F3</f>
        <v>[RS] A Data Integration Specialist locates and connects data from diverse sources, ensuring smooth and accurate integration of data into workflows, pipelines, or models. They focus on making sure that combined data outputs are correct and accessible to downstream users or systems, enabling seamless data flow and interoperability across platforms.</v>
      </c>
    </row>
    <row r="55" spans="1:3">
      <c r="A55" t="s">
        <v>881</v>
      </c>
      <c r="B55" s="69" t="s">
        <v>882</v>
      </c>
      <c r="C55" t="str">
        <f>$B$3</f>
        <v>Data_Integration_Specialist</v>
      </c>
    </row>
    <row r="56" spans="1:3">
      <c r="A56" t="s">
        <v>883</v>
      </c>
      <c r="B56" t="s">
        <v>884</v>
      </c>
      <c r="C56" t="str">
        <f>$B$3</f>
        <v>Data_Integration_Specialist</v>
      </c>
    </row>
    <row r="57" spans="1:3">
      <c r="A57" t="str">
        <f>G4</f>
        <v xml:space="preserve">Issues: Missing data standards or different practices while handling the same type of data make workflow integrations complex.. </v>
      </c>
    </row>
    <row r="58" spans="1:3">
      <c r="A58" t="s">
        <v>883</v>
      </c>
      <c r="B58" t="s">
        <v>885</v>
      </c>
      <c r="C58" t="str">
        <f>$B$3</f>
        <v>Data_Integration_Specialist</v>
      </c>
    </row>
    <row r="59" spans="1:3">
      <c r="A59" t="str">
        <f>CONCATENATE("Latent ",G5)</f>
        <v>Latent  gains: implementing FAIR principles would reduce these challenges and unlock efficiency, compliance, and reuse.</v>
      </c>
    </row>
    <row r="62" spans="1:3">
      <c r="A62" t="s">
        <v>873</v>
      </c>
      <c r="B62" s="69" t="s">
        <v>886</v>
      </c>
      <c r="C62" t="str">
        <f>$B$3</f>
        <v>Data_Integration_Specialist</v>
      </c>
    </row>
    <row r="63" spans="1:3">
      <c r="A63" s="69" t="str">
        <f>H3</f>
        <v>ensures FAIR data implementation by developing and maintaining systems that enable seamless data interoperability and integration across different platforms. They ensure data is accessible and compatible by utilizing standardized protocols and formats, promoting efficient data sharing and reuse. {()} {[( F1, A1, I1, R1.1 )]} – F1 provides general benefit for this role; A1 provides general benefit for this role; I1 provides general benefit for this role; R1.1 provides general benefit for this role.Issues: [RS] --&gt; Data Integration Specialists often encounter challenges such as ensuring data quality when merging information from different sources, including handling missing or inconsistent data. They must reconcile varying formats and schemas, making sure diverse systems can communicate effectively. Managing large volumes of data and scaling integration solutions to meet organizational demands is another hurdle. Additionally, they face challenges in maintaining secure data transfers, adhering to privacy regulations, and keeping up with frequent changes in source systems which can disrupt integrations. Monitoring and resolving errors to maintain consistent, reliable data flow is a critical ongoing task.</v>
      </c>
    </row>
    <row r="64" spans="1:3">
      <c r="B64" s="69"/>
    </row>
    <row r="65" spans="1:2">
      <c r="A65" t="s">
        <v>883</v>
      </c>
      <c r="B65" t="str">
        <f>LEFT(A66,3)</f>
        <v xml:space="preserve">F1 </v>
      </c>
    </row>
    <row r="66" spans="1:2">
      <c r="A66" t="str">
        <f>I4</f>
        <v>F1 ensures that data flowing through pipelines is consistently identified with persistent IDs, reducing errors in integration</v>
      </c>
    </row>
    <row r="67" spans="1:2">
      <c r="A67" t="s">
        <v>883</v>
      </c>
      <c r="B67" t="str">
        <f>LEFT(A68,3)</f>
        <v xml:space="preserve"> F2</v>
      </c>
    </row>
    <row r="68" spans="1:2">
      <c r="A68" t="str">
        <f>I5</f>
        <v xml:space="preserve"> F2 provides metadata that describes datasets clearly, allowing automated mapping and transformation between systems</v>
      </c>
    </row>
    <row r="69" spans="1:2">
      <c r="A69" t="s">
        <v>883</v>
      </c>
      <c r="B69" t="str">
        <f>LEFT(A70,3)</f>
        <v xml:space="preserve"> A1</v>
      </c>
    </row>
    <row r="70" spans="1:2">
      <c r="A70" t="str">
        <f>I6</f>
        <v xml:space="preserve"> A1 guarantees that integrated systems can access source data reliably through standardized protocols</v>
      </c>
    </row>
    <row r="71" spans="1:2">
      <c r="A71" t="s">
        <v>883</v>
      </c>
      <c r="B71" t="str">
        <f>LEFT(A72,3)</f>
        <v xml:space="preserve"> I1</v>
      </c>
    </row>
    <row r="72" spans="1:2">
      <c r="A72" t="str">
        <f>I7</f>
        <v xml:space="preserve"> I1 enables semantic interoperability, so data from different domains can be combined without manual reconciliation</v>
      </c>
    </row>
    <row r="73" spans="1:2">
      <c r="A73" t="s">
        <v>883</v>
      </c>
      <c r="B73" t="str">
        <f>LEFT(A74,3)</f>
        <v xml:space="preserve"> I2</v>
      </c>
    </row>
    <row r="74" spans="1:2">
      <c r="A74" t="str">
        <f>I8</f>
        <v xml:space="preserve"> I2 supports automated integration processes, reducing maintenance and speeding deployment of new pipelines.</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3EEC4D81-E9F0-4A9E-9A25-E38313B854A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1708681-6E70-4B60-AE50-08FFD5E89246}">
          <x14:formula1>
            <xm:f>'2025-Personas-FAIR-cleaned'!$B$3:$B$40</xm:f>
          </x14:formula1>
          <xm:sqref>B3 E5:E12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133F-1C7C-473C-824C-379E28356FD2}">
  <dimension ref="A1:X90"/>
  <sheetViews>
    <sheetView topLeftCell="A23" workbookViewId="0">
      <selection activeCell="C30" sqref="A28:C30"/>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468</v>
      </c>
      <c r="C3" s="99" t="str">
        <f>_xlfn.XLOOKUP($B3,'2025-Personas-FAIR-cleaned'!$B$3:$B$40,'2025-Personas-FAIR-cleaned'!$D$3:$D$40)</f>
        <v>A Data Engineer designs, builds, and manages systems that collect, store, and process large amounts of data. Their job is to ensure that data is accurate, reliable, and accessible for analysis and decision-making. They help organize data so it can easily be discovered, safely accessed by those who need it, used across different systems, and shared or reused by others. In simple terms, Data Engineers make sure data is well-structured and easy to use, while also following best practices so that everyone can get maximum value from data::::::: [RS] --&gt; A Data Engineer builds and maintains the infrastructure needed for data collection, storage, and processing. They design data pipelines, optimize databases, manage large-scale data architectures, and ensure data quality and reliability throughout the analytics process.</v>
      </c>
      <c r="D3" s="99" t="str">
        <f>_xlfn.XLOOKUP($B3,'2025-Personas-FAIR-cleaned'!$B$3:$B$40,'2025-Personas-FAIR-cleaned'!$G$3:$G$40)</f>
        <v>Research Software Engineer [RS]: Data Infrastructure Engineer; ETL Developer; Data Platform Engineer, Big Data Engineer; Data Pipeline Engineer</v>
      </c>
      <c r="E3" s="100" t="str">
        <f>_xlfn.XLOOKUP($B3,'2025-Personas-FAIR-cleaned'!$B$3:$B$40,'2025-Personas-FAIR-cleaned'!$H$3:$H$40)</f>
        <v>FAIR_Data_Architect,Clinical_Data_Manager,Data_Steward,Data_Integration_Specialist,DataOwner,Data_Scientist,Data_Standards_and_Governance_Expert,Ontologist,Researcher</v>
      </c>
      <c r="F3" s="99" t="str">
        <f>_xlfn.XLOOKUP($B3,'2025-Personas-FAIR-cleaned'!$B$3:$B$40,'2025-Personas-FAIR-cleaned'!$K$3:$K$40)</f>
        <v xml:space="preserve">[RS] The core responsibilities of a Data Engineer is designing and building systems for data collection, storage, and processing, ensuring data is accurate, reliable, and flows efficiently through scalable pipelines. They also prepare and structure data to make it readily available for analysis and informed decision-making.
[GN] A Data Engineer in a large pharmaceutical company is responsible for designing, building, and maintaining the infrastructure that enables large-scale data collection, storage, and analysis. Their day-to-day work includes developing ETL (extract-transform-load) pipelines, integrating data from diverse sources such as EDC systems, laboratory information management systems (LIMS), imaging platforms, and real-world evidence datasets. They implement data models, manage cloud or on-premise databases, optimize query performance, and ensure that pipelines are scalable and reliable. Data Engineers also collaborate closely with Data Scientists, Clinical Data Managers, and IT teams to ensure that datasets are structured, clean, and ready for analytics or regulatory submission.
</v>
      </c>
      <c r="G3" s="99" t="str">
        <f>_xlfn.XLOOKUP($B3,'2025-Personas-FAIR-cleaned'!$B$3:$B$40,'2025-Personas-FAIR-cleaned'!$O$3:$O$40)</f>
        <v>Issues: 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 Latent gains: implementing FAIR principles would reduce these challenges and unlock efficiency, compliance, and reuse.</v>
      </c>
      <c r="H3" s="99" t="str">
        <f>_xlfn.XLOOKUP($B3,'2025-Personas-FAIR-cleaned'!$B$3:$B$40,'2025-Personas-FAIR-cleaned'!$M$3:$M$40)</f>
        <v>[GN] FAIR principles bring  benefits to Data Engineers by providing standardized approaches for data interoperability, discoverability, and reuse. By adopting FAIR-aligned metadata, ontologies, and standardized formats, Data Engineers can streamline data integration and reduce manual mapping efforts. Improved data provenance and accessibility facilitate collaboration across teams and accelerate analytics, machine learning, and regulatory reporting. FAIR practices also support automation of data pipelines, improve reproducibility, and reduce operational risk, enabling Data Engineers to focus more on innovation and optimization rather than time-consuming data wrangling. 
* 	Findable (F1–F4): By applying standardized metadata and persistent identifiers, data becomes easier to locate and retrieve across multiple systems. This reduces time spent searching for datasets and ensures that all relevant data can be discovered for analytics or regulatory needs.
	•	Accessible (A1–A2): Implementing well-defined access protocols and ensuring that metadata remains accessible even if the data itself is restricted allows teams to retrieve the data they need efficiently, while maintaining compliance with governance and privacy requirements.
	•	Interoperable (I1–I3): Using controlled vocabularies, ontologies, and standardized data formats enables seamless integration of heterogeneous datasets from EDCs, LIMS, imaging, and real-world evidence systems. This improves cross-team collaboration and reduces errors caused by inconsistent data formats.
	•	Reusable (R1–R1.3): Clear documentation of data provenance, usage licenses, and quality metrics ensures that datasets can be reused for secondary analysis, machine learning, or regulatory reporting. This enhances reproducibility, reduces redundant effort, and supports long-term operational efficiency.</v>
      </c>
      <c r="I3" s="99" t="str">
        <f>_xlfn.XLOOKUP($B3,'2025-Personas-FAIR-cleaned'!$B$3:$B$40,'2025-Personas-FAIR-cleaned'!$P$3:$P$40)</f>
        <v>F1 embeds persistent identifiers into pipelines, ensuring that data remains traceable across ingestion and transformation steps; F2 ensures metadata is captured and propagated, enabling automation and monitoring of data flows; A1 guarantees that engineered systems provide secure and reliable access to datasets at scale; I1/I2 enable interoperability between heterogeneous systems and formats, reducing manual reconciliation; R1.1 supports reproducibility of pipeline outputs, ensuring consistent results across environments.</v>
      </c>
      <c r="J3" s="1"/>
      <c r="K3" s="1"/>
      <c r="L3" s="1"/>
      <c r="M3" s="1"/>
      <c r="N3" s="1"/>
      <c r="O3" s="1"/>
      <c r="P3" s="1"/>
      <c r="Q3" s="1"/>
      <c r="R3" s="1"/>
      <c r="S3" s="1"/>
      <c r="T3" s="1"/>
      <c r="U3" s="1"/>
      <c r="V3" s="1"/>
      <c r="W3" s="1"/>
      <c r="X3" s="1"/>
    </row>
    <row r="4" spans="1:24">
      <c r="D4" s="85" t="str" cm="1">
        <f t="array" ref="D4:D7">_xlfn.TEXTSPLIT(D3,,";")</f>
        <v>Research Software Engineer [RS]: Data Infrastructure Engineer</v>
      </c>
      <c r="E4" s="85" t="str" cm="1">
        <f t="array" ref="E4:E12">_xlfn.TEXTSPLIT(E3,,",")</f>
        <v>FAIR_Data_Architect</v>
      </c>
      <c r="G4" s="85" t="str" cm="1">
        <f t="array" ref="G4:G5">_xlfn.TEXTSPLIT(G3,,"Latent")</f>
        <v xml:space="preserve">Issues: 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 </v>
      </c>
      <c r="I4" s="85" t="str" cm="1">
        <f t="array" ref="I4:I8">_xlfn.TEXTSPLIT(I3,,";")</f>
        <v>F1 embeds persistent identifiers into pipelines, ensuring that data remains traceable across ingestion and transformation steps</v>
      </c>
    </row>
    <row r="5" spans="1:24">
      <c r="D5" s="85" t="str">
        <v xml:space="preserve"> ETL Developer</v>
      </c>
      <c r="E5" s="97" t="str">
        <v>Clinical_Data_Manager</v>
      </c>
      <c r="G5" t="str">
        <v xml:space="preserve"> gains: implementing FAIR principles would reduce these challenges and unlock efficiency, compliance, and reuse.</v>
      </c>
      <c r="I5" t="str">
        <v xml:space="preserve"> F2 ensures metadata is captured and propagated, enabling automation and monitoring of data flows</v>
      </c>
    </row>
    <row r="6" spans="1:24">
      <c r="D6" s="85" t="str">
        <v xml:space="preserve"> Data Platform Engineer, Big Data Engineer</v>
      </c>
      <c r="E6" s="97" t="str">
        <v>Data_Steward</v>
      </c>
      <c r="I6" t="str">
        <v xml:space="preserve"> A1 guarantees that engineered systems provide secure and reliable access to datasets at scale</v>
      </c>
    </row>
    <row r="7" spans="1:24">
      <c r="D7" s="85" t="str">
        <v xml:space="preserve"> Data Pipeline Engineer</v>
      </c>
      <c r="E7" s="97" t="str">
        <v>Data_Integration_Specialist</v>
      </c>
      <c r="I7" t="str">
        <v xml:space="preserve"> I1/I2 enable interoperability between heterogeneous systems and formats, reducing manual reconciliation</v>
      </c>
    </row>
    <row r="8" spans="1:24">
      <c r="D8" s="85"/>
      <c r="E8" s="97" t="str">
        <v>DataOwner</v>
      </c>
      <c r="I8" t="str">
        <v xml:space="preserve"> R1.1 supports reproducibility of pipeline outputs, ensuring consistent results across environments.</v>
      </c>
    </row>
    <row r="9" spans="1:24">
      <c r="D9" s="85"/>
      <c r="E9" s="97" t="str">
        <v>Data_Scientist</v>
      </c>
    </row>
    <row r="10" spans="1:24">
      <c r="D10" s="85"/>
      <c r="E10" s="97" t="str">
        <v>Data_Standards_and_Governance_Expert</v>
      </c>
    </row>
    <row r="11" spans="1:24">
      <c r="E11" s="97" t="str">
        <v>Ontologist</v>
      </c>
    </row>
    <row r="12" spans="1:24">
      <c r="E12" s="97" t="str">
        <v>Researcher</v>
      </c>
    </row>
    <row r="16" spans="1:24">
      <c r="A16" s="4" t="s">
        <v>868</v>
      </c>
      <c r="B16" s="56" t="s">
        <v>869</v>
      </c>
    </row>
    <row r="17" spans="1:3">
      <c r="A17" s="4" t="s">
        <v>870</v>
      </c>
      <c r="B17" t="str">
        <f>CONCATENATE(B3,".md")</f>
        <v>Data_Engineer.md</v>
      </c>
    </row>
    <row r="19" spans="1:3" s="94" customFormat="1">
      <c r="A19" s="93" t="s">
        <v>871</v>
      </c>
    </row>
    <row r="21" spans="1:3">
      <c r="A21" t="s">
        <v>872</v>
      </c>
      <c r="B21" t="str">
        <f>B3</f>
        <v>Data_Engineer</v>
      </c>
    </row>
    <row r="22" spans="1:3">
      <c r="A22" t="str">
        <f>CONCATENATE("[",B3,"]","(",B16,B3,")")</f>
        <v>[Data_Engineer](https://pistoiaalliance.github.io/FAIRMaturityMatrix/FAIR_personas/Data_Engineer)</v>
      </c>
    </row>
    <row r="24" spans="1:3">
      <c r="A24" t="s">
        <v>873</v>
      </c>
      <c r="B24" t="s">
        <v>874</v>
      </c>
      <c r="C24" t="str">
        <f>$B$3</f>
        <v>Data_Engineer</v>
      </c>
    </row>
    <row r="25" spans="1:3" ht="29.25">
      <c r="A25" t="s">
        <v>875</v>
      </c>
      <c r="B25" s="1" t="str">
        <f>CONCATENATE(B24," ",C24)</f>
        <v>Synonyms of  Data_Engineer</v>
      </c>
      <c r="C25" t="s">
        <v>875</v>
      </c>
    </row>
    <row r="26" spans="1:3">
      <c r="A26" t="s">
        <v>875</v>
      </c>
      <c r="B26" t="s">
        <v>876</v>
      </c>
      <c r="C26" t="s">
        <v>875</v>
      </c>
    </row>
    <row r="27" spans="1:3">
      <c r="A27" t="s">
        <v>875</v>
      </c>
      <c r="B27" t="str">
        <f t="shared" ref="B27:B33" si="0">D4</f>
        <v>Research Software Engineer [RS]: Data Infrastructure Engineer</v>
      </c>
      <c r="C27" t="s">
        <v>875</v>
      </c>
    </row>
    <row r="28" spans="1:3">
      <c r="A28" t="s">
        <v>875</v>
      </c>
      <c r="B28" t="str">
        <f t="shared" si="0"/>
        <v xml:space="preserve"> ETL Developer</v>
      </c>
      <c r="C28" t="s">
        <v>875</v>
      </c>
    </row>
    <row r="29" spans="1:3">
      <c r="A29" t="s">
        <v>875</v>
      </c>
      <c r="B29" t="str">
        <f t="shared" si="0"/>
        <v xml:space="preserve"> Data Platform Engineer, Big Data Engineer</v>
      </c>
      <c r="C29" t="s">
        <v>875</v>
      </c>
    </row>
    <row r="30" spans="1:3">
      <c r="A30" t="s">
        <v>875</v>
      </c>
      <c r="B30" t="str">
        <f t="shared" si="0"/>
        <v xml:space="preserve"> Data Pipeline Engineer</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Data_Engineer</v>
      </c>
    </row>
    <row r="36" spans="1:3">
      <c r="A36" t="str">
        <f>C3</f>
        <v>A Data Engineer designs, builds, and manages systems that collect, store, and process large amounts of data. Their job is to ensure that data is accurate, reliable, and accessible for analysis and decision-making. They help organize data so it can easily be discovered, safely accessed by those who need it, used across different systems, and shared or reused by others. In simple terms, Data Engineers make sure data is well-structured and easy to use, while also following best practices so that everyone can get maximum value from data::::::: [RS] --&gt; A Data Engineer builds and maintains the infrastructure needed for data collection, storage, and processing. They design data pipelines, optimize databases, manage large-scale data architectures, and ensure data quality and reliability throughout the analytics process.</v>
      </c>
    </row>
    <row r="39" spans="1:3">
      <c r="A39" s="69" t="s">
        <v>878</v>
      </c>
      <c r="B39" t="s">
        <v>879</v>
      </c>
      <c r="C39" t="str">
        <f>$B$3</f>
        <v>Data_Engineer</v>
      </c>
    </row>
    <row r="40" spans="1:3" ht="29.25">
      <c r="A40" t="s">
        <v>875</v>
      </c>
      <c r="B40" s="1" t="str">
        <f>CONCATENATE(B39," ",C39)</f>
        <v>FAIR persona related to  Data_Engineer</v>
      </c>
      <c r="C40" t="s">
        <v>875</v>
      </c>
    </row>
    <row r="41" spans="1:3">
      <c r="A41" t="s">
        <v>875</v>
      </c>
      <c r="B41" t="s">
        <v>876</v>
      </c>
      <c r="C41" t="s">
        <v>875</v>
      </c>
    </row>
    <row r="42" spans="1:3" ht="130.5">
      <c r="A42" t="s">
        <v>875</v>
      </c>
      <c r="B42" s="1" t="str">
        <f>CONCATENATE("[",E4,"]","(",$B$16,E4,")")</f>
        <v>[FAIR_Data_Architect](https://pistoiaalliance.github.io/FAIRMaturityMatrix/FAIR_personas/FAIR_Data_Architect)</v>
      </c>
      <c r="C42" t="s">
        <v>875</v>
      </c>
    </row>
    <row r="43" spans="1:3">
      <c r="A43" t="s">
        <v>875</v>
      </c>
      <c r="B43" t="str">
        <f t="shared" ref="B43:B49" si="1">CONCATENATE("[",E5,"]","(",$B$16,E5,")")</f>
        <v>[Clinical_Data_Manager](https://pistoiaalliance.github.io/FAIRMaturityMatrix/FAIR_personas/Clinical_Data_Manager)</v>
      </c>
      <c r="C43" t="s">
        <v>875</v>
      </c>
    </row>
    <row r="44" spans="1:3">
      <c r="A44" t="s">
        <v>875</v>
      </c>
      <c r="B44" t="str">
        <f t="shared" si="1"/>
        <v>[Data_Steward](https://pistoiaalliance.github.io/FAIRMaturityMatrix/FAIR_personas/Data_Steward)</v>
      </c>
      <c r="C44" t="s">
        <v>875</v>
      </c>
    </row>
    <row r="45" spans="1:3">
      <c r="A45" t="s">
        <v>875</v>
      </c>
      <c r="B45" t="str">
        <f t="shared" si="1"/>
        <v>[Data_Integration_Specialist](https://pistoiaalliance.github.io/FAIRMaturityMatrix/FAIR_personas/Data_Integration_Specialist)</v>
      </c>
      <c r="C45" t="s">
        <v>875</v>
      </c>
    </row>
    <row r="46" spans="1:3">
      <c r="A46" t="s">
        <v>875</v>
      </c>
      <c r="B46" t="str">
        <f t="shared" si="1"/>
        <v>[DataOwner](https://pistoiaalliance.github.io/FAIRMaturityMatrix/FAIR_personas/DataOwner)</v>
      </c>
      <c r="C46" t="s">
        <v>875</v>
      </c>
    </row>
    <row r="47" spans="1:3">
      <c r="A47" t="s">
        <v>875</v>
      </c>
      <c r="B47" t="str">
        <f t="shared" si="1"/>
        <v>[Data_Scientist](https://pistoiaalliance.github.io/FAIRMaturityMatrix/FAIR_personas/Data_Scientist)</v>
      </c>
      <c r="C47" t="s">
        <v>875</v>
      </c>
    </row>
    <row r="48" spans="1:3">
      <c r="A48" t="s">
        <v>875</v>
      </c>
      <c r="B48" t="str">
        <f t="shared" si="1"/>
        <v>[Data_Standards_and_Governance_Expert](https://pistoiaalliance.github.io/FAIRMaturityMatrix/FAIR_personas/Data_Standards_and_Governance_Expert)</v>
      </c>
      <c r="C48" t="s">
        <v>875</v>
      </c>
    </row>
    <row r="49" spans="1:3">
      <c r="A49" t="s">
        <v>875</v>
      </c>
      <c r="B49" t="str">
        <f t="shared" si="1"/>
        <v>[Ontologist](https://pistoiaalliance.github.io/FAIRMaturityMatrix/FAIR_personas/Ontologist)</v>
      </c>
      <c r="C49" t="s">
        <v>875</v>
      </c>
    </row>
    <row r="51" spans="1:3">
      <c r="A51" s="69" t="s">
        <v>878</v>
      </c>
      <c r="B51" t="s">
        <v>880</v>
      </c>
      <c r="C51" t="str">
        <f>$B$3</f>
        <v>Data_Engineer</v>
      </c>
    </row>
    <row r="52" spans="1:3">
      <c r="A52" t="str">
        <f>F3</f>
        <v xml:space="preserve">[RS] The core responsibilities of a Data Engineer is designing and building systems for data collection, storage, and processing, ensuring data is accurate, reliable, and flows efficiently through scalable pipelines. They also prepare and structure data to make it readily available for analysis and informed decision-making.
[GN] A Data Engineer in a large pharmaceutical company is responsible for designing, building, and maintaining the infrastructure that enables large-scale data collection, storage, and analysis. Their day-to-day work includes developing ETL (extract-transform-load) pipelines, integrating data from diverse sources such as EDC systems, laboratory information management systems (LIMS), imaging platforms, and real-world evidence datasets. They implement data models, manage cloud or on-premise databases, optimize query performance, and ensure that pipelines are scalable and reliable. Data Engineers also collaborate closely with Data Scientists, Clinical Data Managers, and IT teams to ensure that datasets are structured, clean, and ready for analytics or regulatory submission.
</v>
      </c>
    </row>
    <row r="55" spans="1:3">
      <c r="A55" t="s">
        <v>881</v>
      </c>
      <c r="B55" s="69" t="s">
        <v>882</v>
      </c>
      <c r="C55" t="str">
        <f>$B$3</f>
        <v>Data_Engineer</v>
      </c>
    </row>
    <row r="56" spans="1:3">
      <c r="A56" t="s">
        <v>883</v>
      </c>
      <c r="B56" t="s">
        <v>884</v>
      </c>
      <c r="C56" t="str">
        <f>$B$3</f>
        <v>Data_Engineer</v>
      </c>
    </row>
    <row r="57" spans="1:3">
      <c r="A57" t="str">
        <f>G4</f>
        <v xml:space="preserve">Issues: Lack of alignment in data formats, poor visbiility on data and metadata completeness,  redundancy, lineage, usage 
[GN] In large pharma, Data Engineers face challenges due to the heterogeneity and complexity of clinical, operational, and research data. Data often resides in siloed systems with inconsistent formats, metadata, and standards. Integrating these diverse sources while preserving data quality, lineage, and security is technically demanding. Maintaining high availability and ensuring compliance with data governance, privacy regulations (e.g., GDPR, HIPAA), and audit requirements adds additional operational complexity. Scaling pipelines to handle growing volumes of genomics, imaging, and real-world evidence data, while keeping them reproducible and maintainable, is another ongoing challenge.. </v>
      </c>
    </row>
    <row r="58" spans="1:3">
      <c r="A58" t="s">
        <v>883</v>
      </c>
      <c r="B58" t="s">
        <v>885</v>
      </c>
      <c r="C58" t="str">
        <f>$B$3</f>
        <v>Data_Engineer</v>
      </c>
    </row>
    <row r="59" spans="1:3">
      <c r="A59" t="str">
        <f>CONCATENATE("Latent ",G5)</f>
        <v>Latent  gains: implementing FAIR principles would reduce these challenges and unlock efficiency, compliance, and reuse.</v>
      </c>
    </row>
    <row r="62" spans="1:3">
      <c r="A62" t="s">
        <v>873</v>
      </c>
      <c r="B62" s="69" t="s">
        <v>886</v>
      </c>
      <c r="C62" t="str">
        <f>$B$3</f>
        <v>Data_Engineer</v>
      </c>
    </row>
    <row r="63" spans="1:3">
      <c r="A63" s="69" t="str">
        <f>H3</f>
        <v>[GN] FAIR principles bring  benefits to Data Engineers by providing standardized approaches for data interoperability, discoverability, and reuse. By adopting FAIR-aligned metadata, ontologies, and standardized formats, Data Engineers can streamline data integration and reduce manual mapping efforts. Improved data provenance and accessibility facilitate collaboration across teams and accelerate analytics, machine learning, and regulatory reporting. FAIR practices also support automation of data pipelines, improve reproducibility, and reduce operational risk, enabling Data Engineers to focus more on innovation and optimization rather than time-consuming data wrangling. 
* 	Findable (F1–F4): By applying standardized metadata and persistent identifiers, data becomes easier to locate and retrieve across multiple systems. This reduces time spent searching for datasets and ensures that all relevant data can be discovered for analytics or regulatory needs.
	•	Accessible (A1–A2): Implementing well-defined access protocols and ensuring that metadata remains accessible even if the data itself is restricted allows teams to retrieve the data they need efficiently, while maintaining compliance with governance and privacy requirements.
	•	Interoperable (I1–I3): Using controlled vocabularies, ontologies, and standardized data formats enables seamless integration of heterogeneous datasets from EDCs, LIMS, imaging, and real-world evidence systems. This improves cross-team collaboration and reduces errors caused by inconsistent data formats.
	•	Reusable (R1–R1.3): Clear documentation of data provenance, usage licenses, and quality metrics ensures that datasets can be reused for secondary analysis, machine learning, or regulatory reporting. This enhances reproducibility, reduces redundant effort, and supports long-term operational efficiency.</v>
      </c>
    </row>
    <row r="64" spans="1:3">
      <c r="B64" s="69"/>
    </row>
    <row r="65" spans="1:2">
      <c r="A65" t="s">
        <v>883</v>
      </c>
      <c r="B65" t="str">
        <f>LEFT(A66,3)</f>
        <v xml:space="preserve">F1 </v>
      </c>
    </row>
    <row r="66" spans="1:2">
      <c r="A66" t="str">
        <f>I4</f>
        <v>F1 embeds persistent identifiers into pipelines, ensuring that data remains traceable across ingestion and transformation steps</v>
      </c>
    </row>
    <row r="67" spans="1:2">
      <c r="A67" t="s">
        <v>883</v>
      </c>
      <c r="B67" t="str">
        <f>LEFT(A68,3)</f>
        <v xml:space="preserve"> F2</v>
      </c>
    </row>
    <row r="68" spans="1:2">
      <c r="A68" t="str">
        <f>I5</f>
        <v xml:space="preserve"> F2 ensures metadata is captured and propagated, enabling automation and monitoring of data flows</v>
      </c>
    </row>
    <row r="69" spans="1:2">
      <c r="A69" t="s">
        <v>883</v>
      </c>
      <c r="B69" t="str">
        <f>LEFT(A70,3)</f>
        <v xml:space="preserve"> A1</v>
      </c>
    </row>
    <row r="70" spans="1:2">
      <c r="A70" t="str">
        <f>I6</f>
        <v xml:space="preserve"> A1 guarantees that engineered systems provide secure and reliable access to datasets at scale</v>
      </c>
    </row>
    <row r="71" spans="1:2">
      <c r="A71" t="s">
        <v>883</v>
      </c>
      <c r="B71" t="str">
        <f>LEFT(A72,3)</f>
        <v xml:space="preserve"> I1</v>
      </c>
    </row>
    <row r="72" spans="1:2">
      <c r="A72" t="str">
        <f>I7</f>
        <v xml:space="preserve"> I1/I2 enable interoperability between heterogeneous systems and formats, reducing manual reconciliation</v>
      </c>
    </row>
    <row r="73" spans="1:2">
      <c r="A73" t="s">
        <v>883</v>
      </c>
      <c r="B73" t="str">
        <f>LEFT(A74,3)</f>
        <v xml:space="preserve"> R1</v>
      </c>
    </row>
    <row r="74" spans="1:2">
      <c r="A74" t="str">
        <f>I8</f>
        <v xml:space="preserve"> R1.1 supports reproducibility of pipeline outputs, ensuring consistent results across environments.</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2753E2A7-E9D1-4C0E-BA63-6F9801FBCB6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8097A0-AE50-4B87-BDED-E9D4C8E38B1E}">
          <x14:formula1>
            <xm:f>'2025-Personas-FAIR-cleaned'!$B$3:$B$40</xm:f>
          </x14:formula1>
          <xm:sqref>B3 E5:E12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A2D7-5A59-4BD6-AE95-CA069365364C}">
  <dimension ref="A1:X90"/>
  <sheetViews>
    <sheetView topLeftCell="A68" workbookViewId="0">
      <selection activeCell="A21" sqref="A21:D74"/>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238</v>
      </c>
      <c r="C3" s="99" t="str">
        <f>_xlfn.XLOOKUP($B3,'2025-Personas-FAIR-cleaned'!$B$3:$B$40,'2025-Personas-FAIR-cleaned'!$D$3:$D$40)</f>
        <v>[RS]: Data Analyst is responsible for designing, developing, and maintaining dashboards and recurring reports that support business needs. Leveraging FAIR data principles, this role collects, cleans, and integrates high-quality data into analytical models and data pipelines. The Data Analyst ensures data is well-documented, traceable, and accessible for a variety of stakeholders, enabling robust analysis and clear, actionable insights for strategic decision-making. Additionally, they collaborate with data engineers and business partners to continuously improve data processes, enhance data usability, and maximize the value of analytics within the organization.</v>
      </c>
      <c r="D3" s="99" t="str">
        <f>_xlfn.XLOOKUP($B3,'2025-Personas-FAIR-cleaned'!$B$3:$B$40,'2025-Personas-FAIR-cleaned'!$G$3:$G$40)</f>
        <v>Data Scientist; Insights Analyst; Business Intelligence Analyst; Data Analysis and Insights Manager;  Senior Data Analyst; Real World Evidence Specialist; Real World Data Analyst; Health Data Manager Real World Data Analyst; Health Data Manager</v>
      </c>
      <c r="E3" s="100" t="str">
        <f>_xlfn.XLOOKUP($B3,'2025-Personas-FAIR-cleaned'!$B$3:$B$40,'2025-Personas-FAIR-cleaned'!$H$3:$H$40)</f>
        <v>Advanced_Data_Analysis_and_Insights_Professional,Business_Analyst,Data_Analyst,Data_Integration_Specialist,Data_Owner</v>
      </c>
      <c r="F3" s="99" t="str">
        <f>_xlfn.XLOOKUP($B3,'2025-Personas-FAIR-cleaned'!$B$3:$B$40,'2025-Personas-FAIR-cleaned'!$K$3:$K$40)</f>
        <v>[RS]: Data Analyst sources, prepares, and integrates data from multiple systems into analytical models and pipelines, ensuring data quality and accessibility. They build and maintain dashboards and reports, verify outputs for accuracy, and make insights available to stakeholders. The role also promotes FAIR data principles and collaborates with others to improve data processes and usability.</v>
      </c>
      <c r="G3" s="99" t="str">
        <f>_xlfn.XLOOKUP($B3,'2025-Personas-FAIR-cleaned'!$B$3:$B$40,'2025-Personas-FAIR-cleaned'!$O$3:$O$40)</f>
        <v>Issues: Unexpected issues in source data; lack of documentation or metadata in source data; problems with workflows, pipelines, or models. Latent gains: implementing FAIR principles would reduce these challenges and unlock efficiency, compliance, and reuse.</v>
      </c>
      <c r="H3" s="99" t="str">
        <f>_xlfn.XLOOKUP($B3,'2025-Personas-FAIR-cleaned'!$B$3:$B$40,'2025-Personas-FAIR-cleaned'!$M$3:$M$40)</f>
        <v>Supports FAIR data implementation by ensuring data is consistently documented with comprehensive metadata to enhance findability and reusability. They also facilitate data integration and interoperability by adhering to standardized data formats and collaborating with other teams to optimize data accessibility. {()} {[( F1, A1, I1, R1.1 )]} – F1 provides general benefit for this role; A1 provides general benefit for this role; I1 provides general benefit for this role; R1.1 provides general benefit for this role.</v>
      </c>
      <c r="I3" s="99" t="str">
        <f>_xlfn.XLOOKUP($B3,'2025-Personas-FAIR-cleaned'!$B$3:$B$40,'2025-Personas-FAIR-cleaned'!$P$3:$P$40)</f>
        <v>F1 ensures that reports are always built on unambiguous datasets with persistent identifiers, avoiding duplication of metrics; F2 provides metadata that makes it easier to understand the business meaning and quality of data, ensuring accurate reporting; A1 guarantees analysts have seamless access to the datasets they need, reducing delays in producing dashboards and KPIs; I1 allows combining data from different domains into integrated views for stakeholders; R1.1 assures that reports are reproducible and can be validated over time, strengthening trust in recurring insights.</v>
      </c>
      <c r="J3" s="1"/>
      <c r="K3" s="1"/>
      <c r="L3" s="1"/>
      <c r="M3" s="1"/>
      <c r="N3" s="1"/>
      <c r="O3" s="1"/>
      <c r="P3" s="1"/>
      <c r="Q3" s="1"/>
      <c r="R3" s="1"/>
      <c r="S3" s="1"/>
      <c r="T3" s="1"/>
      <c r="U3" s="1"/>
      <c r="V3" s="1"/>
      <c r="W3" s="1"/>
      <c r="X3" s="1"/>
    </row>
    <row r="4" spans="1:24">
      <c r="D4" s="85" t="str" cm="1">
        <f t="array" ref="D4:D12">_xlfn.TEXTSPLIT(D3,,";")</f>
        <v>Data Scientist</v>
      </c>
      <c r="E4" s="85" t="str" cm="1">
        <f t="array" ref="E4:E8">_xlfn.TEXTSPLIT(E3,,",")</f>
        <v>Advanced_Data_Analysis_and_Insights_Professional</v>
      </c>
      <c r="G4" s="85" t="str" cm="1">
        <f t="array" ref="G4:G5">_xlfn.TEXTSPLIT(G3,,"Latent")</f>
        <v xml:space="preserve">Issues: Unexpected issues in source data; lack of documentation or metadata in source data; problems with workflows, pipelines, or models. </v>
      </c>
      <c r="I4" s="85" t="str" cm="1">
        <f t="array" ref="I4:I8">_xlfn.TEXTSPLIT(I3,,";")</f>
        <v>F1 ensures that reports are always built on unambiguous datasets with persistent identifiers, avoiding duplication of metrics</v>
      </c>
    </row>
    <row r="5" spans="1:24">
      <c r="D5" s="85" t="str">
        <v xml:space="preserve"> Insights Analyst</v>
      </c>
      <c r="E5" s="97" t="str">
        <v>Business_Analyst</v>
      </c>
      <c r="G5" t="str">
        <v xml:space="preserve"> gains: implementing FAIR principles would reduce these challenges and unlock efficiency, compliance, and reuse.</v>
      </c>
      <c r="I5" t="str">
        <v xml:space="preserve"> F2 provides metadata that makes it easier to understand the business meaning and quality of data, ensuring accurate reporting</v>
      </c>
    </row>
    <row r="6" spans="1:24">
      <c r="D6" s="85" t="str">
        <v xml:space="preserve"> Business Intelligence Analyst</v>
      </c>
      <c r="E6" s="97" t="str">
        <v>Data_Analyst</v>
      </c>
      <c r="I6" t="str">
        <v xml:space="preserve"> A1 guarantees analysts have seamless access to the datasets they need, reducing delays in producing dashboards and KPIs</v>
      </c>
    </row>
    <row r="7" spans="1:24">
      <c r="D7" s="85" t="str">
        <v xml:space="preserve"> Data Analysis and Insights Manager</v>
      </c>
      <c r="E7" s="97" t="str">
        <v>Data_Integration_Specialist</v>
      </c>
      <c r="I7" t="str">
        <v xml:space="preserve"> I1 allows combining data from different domains into integrated views for stakeholders</v>
      </c>
    </row>
    <row r="8" spans="1:24">
      <c r="D8" s="85" t="str">
        <v xml:space="preserve">  Senior Data Analyst</v>
      </c>
      <c r="E8" s="97" t="str">
        <v>Data_Owner</v>
      </c>
      <c r="I8" t="str">
        <v xml:space="preserve"> R1.1 assures that reports are reproducible and can be validated over time, strengthening trust in recurring insights.</v>
      </c>
    </row>
    <row r="9" spans="1:24">
      <c r="D9" s="85" t="str">
        <v xml:space="preserve"> Real World Evidence Specialist</v>
      </c>
      <c r="E9" s="97"/>
    </row>
    <row r="10" spans="1:24">
      <c r="D10" s="85" t="str">
        <v xml:space="preserve"> Real World Data Analyst</v>
      </c>
      <c r="E10" s="97"/>
    </row>
    <row r="11" spans="1:24">
      <c r="D11" t="str">
        <v xml:space="preserve"> Health Data Manager Real World Data Analyst</v>
      </c>
      <c r="E11" s="97"/>
    </row>
    <row r="12" spans="1:24">
      <c r="D12" t="str">
        <v xml:space="preserve"> Health Data Manager</v>
      </c>
      <c r="E12" s="97"/>
    </row>
    <row r="16" spans="1:24">
      <c r="A16" s="4" t="s">
        <v>868</v>
      </c>
      <c r="B16" s="56" t="s">
        <v>869</v>
      </c>
    </row>
    <row r="17" spans="1:3">
      <c r="A17" s="4" t="s">
        <v>870</v>
      </c>
      <c r="B17" t="str">
        <f>CONCATENATE(B3,".md")</f>
        <v>Data_Analyst.md</v>
      </c>
    </row>
    <row r="19" spans="1:3" s="94" customFormat="1">
      <c r="A19" s="93" t="s">
        <v>871</v>
      </c>
    </row>
    <row r="21" spans="1:3">
      <c r="A21" t="s">
        <v>872</v>
      </c>
      <c r="B21" t="str">
        <f>B3</f>
        <v>Data_Analyst</v>
      </c>
    </row>
    <row r="22" spans="1:3">
      <c r="A22" t="str">
        <f>CONCATENATE("[",B3,"]","(",B16,B3,")")</f>
        <v>[Data_Analyst](https://pistoiaalliance.github.io/FAIRMaturityMatrix/FAIR_personas/Data_Analyst)</v>
      </c>
    </row>
    <row r="24" spans="1:3">
      <c r="A24" t="s">
        <v>873</v>
      </c>
      <c r="B24" t="s">
        <v>874</v>
      </c>
      <c r="C24" t="str">
        <f>$B$3</f>
        <v>Data_Analyst</v>
      </c>
    </row>
    <row r="25" spans="1:3" ht="43.5">
      <c r="A25" t="s">
        <v>875</v>
      </c>
      <c r="B25" s="1" t="str">
        <f>CONCATENATE(B24," ",C24)</f>
        <v>Synonyms of  Data_Analyst</v>
      </c>
      <c r="C25" t="s">
        <v>875</v>
      </c>
    </row>
    <row r="26" spans="1:3">
      <c r="A26" t="s">
        <v>875</v>
      </c>
      <c r="B26" t="s">
        <v>876</v>
      </c>
      <c r="C26" t="s">
        <v>875</v>
      </c>
    </row>
    <row r="27" spans="1:3">
      <c r="A27" t="s">
        <v>875</v>
      </c>
      <c r="B27" t="str">
        <f t="shared" ref="B27:B33" si="0">D4</f>
        <v>Data Scientist</v>
      </c>
      <c r="C27" t="s">
        <v>875</v>
      </c>
    </row>
    <row r="28" spans="1:3">
      <c r="A28" t="s">
        <v>875</v>
      </c>
      <c r="B28" t="str">
        <f t="shared" si="0"/>
        <v xml:space="preserve"> Insights Analyst</v>
      </c>
      <c r="C28" t="s">
        <v>875</v>
      </c>
    </row>
    <row r="29" spans="1:3">
      <c r="A29" t="s">
        <v>875</v>
      </c>
      <c r="B29" t="str">
        <f t="shared" si="0"/>
        <v xml:space="preserve"> Business Intelligence Analyst</v>
      </c>
      <c r="C29" t="s">
        <v>875</v>
      </c>
    </row>
    <row r="30" spans="1:3">
      <c r="A30" t="s">
        <v>875</v>
      </c>
      <c r="B30" t="str">
        <f t="shared" si="0"/>
        <v xml:space="preserve"> Data Analysis and Insights Manager</v>
      </c>
      <c r="C30" t="s">
        <v>875</v>
      </c>
    </row>
    <row r="31" spans="1:3">
      <c r="A31" t="s">
        <v>875</v>
      </c>
      <c r="B31" t="str">
        <f t="shared" si="0"/>
        <v xml:space="preserve">  Senior Data Analyst</v>
      </c>
      <c r="C31" t="s">
        <v>875</v>
      </c>
    </row>
    <row r="32" spans="1:3">
      <c r="A32" t="s">
        <v>875</v>
      </c>
      <c r="B32" t="str">
        <f t="shared" si="0"/>
        <v xml:space="preserve"> Real World Evidence Specialist</v>
      </c>
      <c r="C32" t="s">
        <v>875</v>
      </c>
    </row>
    <row r="33" spans="1:3">
      <c r="A33" t="s">
        <v>875</v>
      </c>
      <c r="B33" t="str">
        <f t="shared" si="0"/>
        <v xml:space="preserve"> Real World Data Analyst</v>
      </c>
      <c r="C33" t="s">
        <v>875</v>
      </c>
    </row>
    <row r="35" spans="1:3">
      <c r="A35" t="s">
        <v>873</v>
      </c>
      <c r="B35" t="s">
        <v>877</v>
      </c>
      <c r="C35" t="str">
        <f>$B$3</f>
        <v>Data_Analyst</v>
      </c>
    </row>
    <row r="36" spans="1:3">
      <c r="A36" t="str">
        <f>C3</f>
        <v>[RS]: Data Analyst is responsible for designing, developing, and maintaining dashboards and recurring reports that support business needs. Leveraging FAIR data principles, this role collects, cleans, and integrates high-quality data into analytical models and data pipelines. The Data Analyst ensures data is well-documented, traceable, and accessible for a variety of stakeholders, enabling robust analysis and clear, actionable insights for strategic decision-making. Additionally, they collaborate with data engineers and business partners to continuously improve data processes, enhance data usability, and maximize the value of analytics within the organization.</v>
      </c>
    </row>
    <row r="39" spans="1:3">
      <c r="A39" s="69" t="s">
        <v>878</v>
      </c>
      <c r="B39" t="s">
        <v>879</v>
      </c>
      <c r="C39" t="str">
        <f>$B$3</f>
        <v>Data_Analyst</v>
      </c>
    </row>
    <row r="40" spans="1:3" ht="43.5">
      <c r="A40" t="s">
        <v>875</v>
      </c>
      <c r="B40" s="1" t="str">
        <f>CONCATENATE(B39," ",C39)</f>
        <v>FAIR persona related to  Data_Analyst</v>
      </c>
      <c r="C40" t="s">
        <v>875</v>
      </c>
    </row>
    <row r="41" spans="1:3">
      <c r="A41" t="s">
        <v>875</v>
      </c>
      <c r="B41" t="s">
        <v>876</v>
      </c>
      <c r="C41" t="s">
        <v>875</v>
      </c>
    </row>
    <row r="42" spans="1:3" ht="87">
      <c r="A42" t="s">
        <v>875</v>
      </c>
      <c r="B42" s="1" t="str">
        <f>CONCATENATE("[",E4,"]","(",$B$16,E4,")")</f>
        <v>[Advanced_Data_Analysis_and_Insights_Professional](https://pistoiaalliance.github.io/FAIRMaturityMatrix/FAIR_personas/Advanced_Data_Analysis_and_Insights_Professional)</v>
      </c>
      <c r="C42" t="s">
        <v>875</v>
      </c>
    </row>
    <row r="43" spans="1:3">
      <c r="A43" t="s">
        <v>875</v>
      </c>
      <c r="B43" t="str">
        <f t="shared" ref="B43:B49" si="1">CONCATENATE("[",E5,"]","(",$B$16,E5,")")</f>
        <v>[Business_Analyst](https://pistoiaalliance.github.io/FAIRMaturityMatrix/FAIR_personas/Business_Analyst)</v>
      </c>
      <c r="C43" t="s">
        <v>875</v>
      </c>
    </row>
    <row r="44" spans="1:3">
      <c r="A44" t="s">
        <v>875</v>
      </c>
      <c r="B44" t="str">
        <f t="shared" si="1"/>
        <v>[Data_Analyst](https://pistoiaalliance.github.io/FAIRMaturityMatrix/FAIR_personas/Data_Analyst)</v>
      </c>
      <c r="C44" t="s">
        <v>875</v>
      </c>
    </row>
    <row r="45" spans="1:3">
      <c r="A45" t="s">
        <v>875</v>
      </c>
      <c r="B45" t="str">
        <f t="shared" si="1"/>
        <v>[Data_Integration_Specialist](https://pistoiaalliance.github.io/FAIRMaturityMatrix/FAIR_personas/Data_Integration_Specialist)</v>
      </c>
      <c r="C45" t="s">
        <v>875</v>
      </c>
    </row>
    <row r="46" spans="1:3">
      <c r="A46" t="s">
        <v>875</v>
      </c>
      <c r="B46" t="str">
        <f t="shared" si="1"/>
        <v>[Data_Owner](https://pistoiaalliance.github.io/FAIRMaturityMatrix/FAIR_personas/Data_Owner)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Data_Analyst</v>
      </c>
    </row>
    <row r="52" spans="1:3">
      <c r="A52" t="str">
        <f>F3</f>
        <v>[RS]: Data Analyst sources, prepares, and integrates data from multiple systems into analytical models and pipelines, ensuring data quality and accessibility. They build and maintain dashboards and reports, verify outputs for accuracy, and make insights available to stakeholders. The role also promotes FAIR data principles and collaborates with others to improve data processes and usability.</v>
      </c>
    </row>
    <row r="55" spans="1:3">
      <c r="A55" t="s">
        <v>881</v>
      </c>
      <c r="B55" s="69" t="s">
        <v>882</v>
      </c>
      <c r="C55" t="str">
        <f>$B$3</f>
        <v>Data_Analyst</v>
      </c>
    </row>
    <row r="56" spans="1:3">
      <c r="A56" t="s">
        <v>883</v>
      </c>
      <c r="B56" t="s">
        <v>884</v>
      </c>
      <c r="C56" t="str">
        <f>$B$3</f>
        <v>Data_Analyst</v>
      </c>
    </row>
    <row r="57" spans="1:3">
      <c r="A57" t="str">
        <f>G4</f>
        <v xml:space="preserve">Issues: Unexpected issues in source data; lack of documentation or metadata in source data; problems with workflows, pipelines, or models. </v>
      </c>
    </row>
    <row r="58" spans="1:3">
      <c r="A58" t="s">
        <v>883</v>
      </c>
      <c r="B58" t="s">
        <v>885</v>
      </c>
      <c r="C58" t="str">
        <f>$B$3</f>
        <v>Data_Analyst</v>
      </c>
    </row>
    <row r="59" spans="1:3">
      <c r="A59" t="str">
        <f>CONCATENATE("Latent ",G5)</f>
        <v>Latent  gains: implementing FAIR principles would reduce these challenges and unlock efficiency, compliance, and reuse.</v>
      </c>
    </row>
    <row r="62" spans="1:3">
      <c r="A62" t="s">
        <v>873</v>
      </c>
      <c r="B62" s="69" t="s">
        <v>886</v>
      </c>
      <c r="C62" t="str">
        <f>$B$3</f>
        <v>Data_Analyst</v>
      </c>
    </row>
    <row r="63" spans="1:3">
      <c r="A63" s="69" t="str">
        <f>H3</f>
        <v>Supports FAIR data implementation by ensuring data is consistently documented with comprehensive metadata to enhance findability and reusability. They also facilitate data integration and interoperability by adhering to standardized data formats and collaborating with other teams to optimize data accessibility. {()} {[( F1, A1, I1, R1.1 )]} – F1 provides general benefit for this role; A1 provides general benefit for this role; I1 provides general benefit for this role; R1.1 provides general benefit for this role.</v>
      </c>
    </row>
    <row r="64" spans="1:3">
      <c r="B64" s="69"/>
    </row>
    <row r="65" spans="1:2">
      <c r="A65" t="s">
        <v>883</v>
      </c>
      <c r="B65" t="str">
        <f>LEFT(A66,3)</f>
        <v xml:space="preserve">F1 </v>
      </c>
    </row>
    <row r="66" spans="1:2">
      <c r="A66" t="str">
        <f>I4</f>
        <v>F1 ensures that reports are always built on unambiguous datasets with persistent identifiers, avoiding duplication of metrics</v>
      </c>
    </row>
    <row r="67" spans="1:2">
      <c r="A67" t="s">
        <v>883</v>
      </c>
      <c r="B67" t="str">
        <f>LEFT(A68,3)</f>
        <v xml:space="preserve"> F2</v>
      </c>
    </row>
    <row r="68" spans="1:2">
      <c r="A68" t="str">
        <f>I5</f>
        <v xml:space="preserve"> F2 provides metadata that makes it easier to understand the business meaning and quality of data, ensuring accurate reporting</v>
      </c>
    </row>
    <row r="69" spans="1:2">
      <c r="A69" t="s">
        <v>883</v>
      </c>
      <c r="B69" t="str">
        <f>LEFT(A70,3)</f>
        <v xml:space="preserve"> A1</v>
      </c>
    </row>
    <row r="70" spans="1:2">
      <c r="A70" t="str">
        <f>I6</f>
        <v xml:space="preserve"> A1 guarantees analysts have seamless access to the datasets they need, reducing delays in producing dashboards and KPIs</v>
      </c>
    </row>
    <row r="71" spans="1:2">
      <c r="A71" t="s">
        <v>883</v>
      </c>
      <c r="B71" t="str">
        <f>LEFT(A72,3)</f>
        <v xml:space="preserve"> I1</v>
      </c>
    </row>
    <row r="72" spans="1:2">
      <c r="A72" t="str">
        <f>I7</f>
        <v xml:space="preserve"> I1 allows combining data from different domains into integrated views for stakeholders</v>
      </c>
    </row>
    <row r="73" spans="1:2">
      <c r="A73" t="s">
        <v>883</v>
      </c>
      <c r="B73" t="str">
        <f>LEFT(A74,3)</f>
        <v xml:space="preserve"> R1</v>
      </c>
    </row>
    <row r="74" spans="1:2">
      <c r="A74" t="str">
        <f>I8</f>
        <v xml:space="preserve"> R1.1 assures that reports are reproducible and can be validated over time, strengthening trust in recurring insights.</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A0F800C8-D987-47C8-98C2-B7CA93E4285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D508786-438E-4BB8-9EE3-494378B18D72}">
          <x14:formula1>
            <xm:f>'2025-Personas-FAIR-cleaned'!$B$3:$B$40</xm:f>
          </x14:formula1>
          <xm:sqref>B3 E5:E12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C86C-06D8-4BF6-A8CC-4FC26781B824}">
  <dimension ref="A1:X90"/>
  <sheetViews>
    <sheetView topLeftCell="A21" workbookViewId="0">
      <selection activeCell="A21" sqref="A21"/>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415</v>
      </c>
      <c r="C3" s="99" t="str">
        <f>_xlfn.XLOOKUP($B3,'2025-Personas-FAIR-cleaned'!$B$3:$B$40,'2025-Personas-FAIR-cleaned'!$D$3:$D$40)</f>
        <v>Responsible for managing vocabularies, code lists, and ontologies to ensure consistency and semantic alignment. Manages reference data to ensure master data from multiple sources are aligned. [RS] A Reference Data Manager is responsible for overseeing the management, quality, and governance of reference data within an organization. This role ensures that reference data (such as codes, classifications, and standard lists) is accurate, consistent, and aligned with business needs. The Reference Data Manager defines data standards, maintains master/reference data sets, monitors data quality, and implements processes that ensure data is FAIR. They collaborate with business units, data stewards, and technology teams to support data governance, resolve data issues, and enable reliable analytics and reporting.</v>
      </c>
      <c r="D3" s="99" t="str">
        <f>_xlfn.XLOOKUP($B3,'2025-Personas-FAIR-cleaned'!$B$3:$B$40,'2025-Personas-FAIR-cleaned'!$G$3:$G$40)</f>
        <v>Information Steward, Master Data Manager, Data Steward, Data Governance Lead, Metadata Manager, Data Quality Manager, Data Custodian.</v>
      </c>
      <c r="E3" s="100" t="str">
        <f>_xlfn.XLOOKUP($B3,'2025-Personas-FAIR-cleaned'!$B$3:$B$40,'2025-Personas-FAIR-cleaned'!$H$3:$H$40)</f>
        <v>Business_Owner,Curator,Lab_Manager,Ontologist,Project_Manager</v>
      </c>
      <c r="F3" s="99" t="str">
        <f>_xlfn.XLOOKUP($B3,'2025-Personas-FAIR-cleaned'!$B$3:$B$40,'2025-Personas-FAIR-cleaned'!$K$3:$K$40)</f>
        <v>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v>
      </c>
      <c r="G3" s="99" t="str">
        <f>_xlfn.XLOOKUP($B3,'2025-Personas-FAIR-cleaned'!$B$3:$B$40,'2025-Personas-FAIR-cleaned'!$O$3:$O$40)</f>
        <v>Issues: Data cannot be mastered without it having been aligned to standardised reference data resources.
Duplicated/competing code lists across applications
Manual, ticket-based updates and brittle point-to-point feeds
Slow approvals and unclear ownership
Breakages after schema/value changes. Latent gains: implementing FAIR principles would reduce these challenges and unlock efficiency, compliance, and reuse.</v>
      </c>
      <c r="H3" s="99" t="str">
        <f>_xlfn.XLOOKUP($B3,'2025-Personas-FAIR-cleaned'!$B$3:$B$40,'2025-Personas-FAIR-cleaned'!$M$3:$M$40)</f>
        <v>Data can be mastered which makes it FAIR.
Essential for interoperability {()} {[( F1, A1, I1, R1.1 )]} – F1 provides general benefit for this role; A1 provides general benefit for this role; I1 provides general benefit for this role; R1.1 provides general benefit for this role.</v>
      </c>
      <c r="I3" s="99" t="str">
        <f>_xlfn.XLOOKUP($B3,'2025-Personas-FAIR-cleaned'!$B$3:$B$40,'2025-Personas-FAIR-cleaned'!$P$3:$P$40)</f>
        <v>F1 ensures that reference codes, vocabularies, and ontology terms are persistently identified, avoiding duplication and ambiguity; F2 provides rich metadata that documents definitions, hierarchies, and context of reference data and ontologies; A1 guarantees that reference datasets and ontologies are reliably accessible across the enterprise; I1 enables semantic interoperability, allowing ontologies and code lists to be consistently applied across systems and domains; R1.3 promotes reuse of community-aligned reference standards and ontologies, ensuring compliance and cross-industry compatibility.</v>
      </c>
      <c r="J3" s="1"/>
      <c r="K3" s="1"/>
      <c r="L3" s="1"/>
      <c r="M3" s="1"/>
      <c r="N3" s="1"/>
      <c r="O3" s="1"/>
      <c r="P3" s="1"/>
      <c r="Q3" s="1"/>
      <c r="R3" s="1"/>
      <c r="S3" s="1"/>
      <c r="T3" s="1"/>
      <c r="U3" s="1"/>
      <c r="V3" s="1"/>
      <c r="W3" s="1"/>
      <c r="X3" s="1"/>
    </row>
    <row r="4" spans="1:24">
      <c r="D4" s="85" t="str" cm="1">
        <f t="array" ref="D4">_xlfn.TEXTSPLIT(D3,,";")</f>
        <v>Information Steward, Master Data Manager, Data Steward, Data Governance Lead, Metadata Manager, Data Quality Manager, Data Custodian.</v>
      </c>
      <c r="E4" s="85" t="str" cm="1">
        <f t="array" ref="E4:E8">_xlfn.TEXTSPLIT(E3,,",")</f>
        <v>Business_Owner</v>
      </c>
      <c r="G4" s="85" t="str" cm="1">
        <f t="array" ref="G4:G5">_xlfn.TEXTSPLIT(G3,,"Latent")</f>
        <v xml:space="preserve">Issues: Data cannot be mastered without it having been aligned to standardised reference data resources.
Duplicated/competing code lists across applications
Manual, ticket-based updates and brittle point-to-point feeds
Slow approvals and unclear ownership
Breakages after schema/value changes. </v>
      </c>
      <c r="I4" s="85" t="str" cm="1">
        <f t="array" ref="I4:I8">_xlfn.TEXTSPLIT(I3,,";")</f>
        <v>F1 ensures that reference codes, vocabularies, and ontology terms are persistently identified, avoiding duplication and ambiguity</v>
      </c>
    </row>
    <row r="5" spans="1:24">
      <c r="D5" s="85"/>
      <c r="E5" s="97" t="str">
        <v>Curator</v>
      </c>
      <c r="G5" t="str">
        <v xml:space="preserve"> gains: implementing FAIR principles would reduce these challenges and unlock efficiency, compliance, and reuse.</v>
      </c>
      <c r="I5" t="str">
        <v xml:space="preserve"> F2 provides rich metadata that documents definitions, hierarchies, and context of reference data and ontologies</v>
      </c>
    </row>
    <row r="6" spans="1:24">
      <c r="D6" s="85"/>
      <c r="E6" s="97" t="str">
        <v>Lab_Manager</v>
      </c>
      <c r="I6" t="str">
        <v xml:space="preserve"> A1 guarantees that reference datasets and ontologies are reliably accessible across the enterprise</v>
      </c>
    </row>
    <row r="7" spans="1:24">
      <c r="D7" s="85"/>
      <c r="E7" s="97" t="str">
        <v>Ontologist</v>
      </c>
      <c r="I7" t="str">
        <v xml:space="preserve"> I1 enables semantic interoperability, allowing ontologies and code lists to be consistently applied across systems and domains</v>
      </c>
    </row>
    <row r="8" spans="1:24">
      <c r="D8" s="85"/>
      <c r="E8" s="97" t="str">
        <v>Project_Manager</v>
      </c>
      <c r="I8" t="str">
        <v xml:space="preserve"> R1.3 promotes reuse of community-aligned reference standards and ontologies, ensuring compliance and cross-industry compatibility.</v>
      </c>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Reference_Data_Manager.md</v>
      </c>
    </row>
    <row r="19" spans="1:3" s="94" customFormat="1">
      <c r="A19" s="93" t="s">
        <v>871</v>
      </c>
    </row>
    <row r="21" spans="1:3">
      <c r="A21" t="s">
        <v>872</v>
      </c>
      <c r="B21" t="str">
        <f>B3</f>
        <v>Reference_Data_Manager</v>
      </c>
    </row>
    <row r="22" spans="1:3">
      <c r="A22" t="str">
        <f>CONCATENATE("[",B3,"]","(",B16,B3,")")</f>
        <v>[Reference_Data_Manager](https://pistoiaalliance.github.io/FAIRMaturityMatrix/FAIR_personas/Reference_Data_Manager)</v>
      </c>
    </row>
    <row r="24" spans="1:3">
      <c r="A24" t="s">
        <v>873</v>
      </c>
      <c r="B24" t="s">
        <v>874</v>
      </c>
      <c r="C24" t="str">
        <f>$B$3</f>
        <v>Reference_Data_Manager</v>
      </c>
    </row>
    <row r="25" spans="1:3" ht="29.25">
      <c r="A25" t="s">
        <v>875</v>
      </c>
      <c r="B25" s="1" t="str">
        <f>CONCATENATE(B24," ",C24)</f>
        <v>Synonyms of  Reference_Data_Manager</v>
      </c>
      <c r="C25" t="s">
        <v>875</v>
      </c>
    </row>
    <row r="26" spans="1:3">
      <c r="A26" t="s">
        <v>875</v>
      </c>
      <c r="B26" t="s">
        <v>876</v>
      </c>
      <c r="C26" t="s">
        <v>875</v>
      </c>
    </row>
    <row r="27" spans="1:3">
      <c r="A27" t="s">
        <v>875</v>
      </c>
      <c r="B27" t="str">
        <f t="shared" ref="B27:B33" si="0">D4</f>
        <v>Information Steward, Master Data Manager, Data Steward, Data Governance Lead, Metadata Manager, Data Quality Manager, Data Custodian.</v>
      </c>
      <c r="C27" t="s">
        <v>875</v>
      </c>
    </row>
    <row r="28" spans="1:3">
      <c r="A28" t="s">
        <v>875</v>
      </c>
      <c r="B28">
        <f t="shared" si="0"/>
        <v>0</v>
      </c>
      <c r="C28" t="s">
        <v>875</v>
      </c>
    </row>
    <row r="29" spans="1:3">
      <c r="A29" t="s">
        <v>875</v>
      </c>
      <c r="B29">
        <f t="shared" si="0"/>
        <v>0</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Reference_Data_Manager</v>
      </c>
    </row>
    <row r="36" spans="1:3">
      <c r="A36" t="str">
        <f>C3</f>
        <v>Responsible for managing vocabularies, code lists, and ontologies to ensure consistency and semantic alignment. Manages reference data to ensure master data from multiple sources are aligned. [RS] A Reference Data Manager is responsible for overseeing the management, quality, and governance of reference data within an organization. This role ensures that reference data (such as codes, classifications, and standard lists) is accurate, consistent, and aligned with business needs. The Reference Data Manager defines data standards, maintains master/reference data sets, monitors data quality, and implements processes that ensure data is FAIR. They collaborate with business units, data stewards, and technology teams to support data governance, resolve data issues, and enable reliable analytics and reporting.</v>
      </c>
    </row>
    <row r="39" spans="1:3">
      <c r="A39" s="69" t="s">
        <v>878</v>
      </c>
      <c r="B39" t="s">
        <v>879</v>
      </c>
      <c r="C39" t="str">
        <f>$B$3</f>
        <v>Reference_Data_Manager</v>
      </c>
    </row>
    <row r="40" spans="1:3" ht="29.25">
      <c r="A40" t="s">
        <v>875</v>
      </c>
      <c r="B40" s="1" t="str">
        <f>CONCATENATE(B39," ",C39)</f>
        <v>FAIR persona related to  Reference_Data_Manager</v>
      </c>
      <c r="C40" t="s">
        <v>875</v>
      </c>
    </row>
    <row r="41" spans="1:3">
      <c r="A41" t="s">
        <v>875</v>
      </c>
      <c r="B41" t="s">
        <v>876</v>
      </c>
      <c r="C41" t="s">
        <v>875</v>
      </c>
    </row>
    <row r="42" spans="1:3" ht="87">
      <c r="A42" t="s">
        <v>875</v>
      </c>
      <c r="B42" s="1" t="str">
        <f>CONCATENATE("[",E4,"]","(",$B$16,E4,")")</f>
        <v>[Business_Owner](https://pistoiaalliance.github.io/FAIRMaturityMatrix/FAIR_personas/Business_Owner)</v>
      </c>
      <c r="C42" t="s">
        <v>875</v>
      </c>
    </row>
    <row r="43" spans="1:3">
      <c r="A43" t="s">
        <v>875</v>
      </c>
      <c r="B43" t="str">
        <f t="shared" ref="B43:B49" si="1">CONCATENATE("[",E5,"]","(",$B$16,E5,")")</f>
        <v>[Curator](https://pistoiaalliance.github.io/FAIRMaturityMatrix/FAIR_personas/Curator)</v>
      </c>
      <c r="C43" t="s">
        <v>875</v>
      </c>
    </row>
    <row r="44" spans="1:3">
      <c r="A44" t="s">
        <v>875</v>
      </c>
      <c r="B44" t="str">
        <f t="shared" si="1"/>
        <v>[Lab_Manager](https://pistoiaalliance.github.io/FAIRMaturityMatrix/FAIR_personas/Lab_Manager)</v>
      </c>
      <c r="C44" t="s">
        <v>875</v>
      </c>
    </row>
    <row r="45" spans="1:3">
      <c r="A45" t="s">
        <v>875</v>
      </c>
      <c r="B45" t="str">
        <f t="shared" si="1"/>
        <v>[Ontologist](https://pistoiaalliance.github.io/FAIRMaturityMatrix/FAIR_personas/Ontologist)</v>
      </c>
      <c r="C45" t="s">
        <v>875</v>
      </c>
    </row>
    <row r="46" spans="1:3">
      <c r="A46" t="s">
        <v>875</v>
      </c>
      <c r="B46" t="str">
        <f t="shared" si="1"/>
        <v>[Project_Manager](https://pistoiaalliance.github.io/FAIRMaturityMatrix/FAIR_personas/Project_Manager)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Reference_Data_Manager</v>
      </c>
    </row>
    <row r="52" spans="1:3">
      <c r="A52" t="str">
        <f>F3</f>
        <v>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v>
      </c>
    </row>
    <row r="55" spans="1:3">
      <c r="A55" t="s">
        <v>881</v>
      </c>
      <c r="B55" s="69" t="s">
        <v>882</v>
      </c>
      <c r="C55" t="str">
        <f>$B$3</f>
        <v>Reference_Data_Manager</v>
      </c>
    </row>
    <row r="56" spans="1:3">
      <c r="A56" t="s">
        <v>883</v>
      </c>
      <c r="B56" t="s">
        <v>884</v>
      </c>
      <c r="C56" t="str">
        <f>$B$3</f>
        <v>Reference_Data_Manager</v>
      </c>
    </row>
    <row r="57" spans="1:3">
      <c r="A57" t="str">
        <f>G4</f>
        <v xml:space="preserve">Issues: Data cannot be mastered without it having been aligned to standardised reference data resources.
Duplicated/competing code lists across applications
Manual, ticket-based updates and brittle point-to-point feeds
Slow approvals and unclear ownership
Breakages after schema/value changes. </v>
      </c>
    </row>
    <row r="58" spans="1:3">
      <c r="A58" t="s">
        <v>883</v>
      </c>
      <c r="B58" t="s">
        <v>885</v>
      </c>
      <c r="C58" t="str">
        <f>$B$3</f>
        <v>Reference_Data_Manager</v>
      </c>
    </row>
    <row r="59" spans="1:3">
      <c r="A59" t="str">
        <f>CONCATENATE("Latent ",G5)</f>
        <v>Latent  gains: implementing FAIR principles would reduce these challenges and unlock efficiency, compliance, and reuse.</v>
      </c>
    </row>
    <row r="62" spans="1:3">
      <c r="A62" t="s">
        <v>873</v>
      </c>
      <c r="B62" s="69" t="s">
        <v>886</v>
      </c>
      <c r="C62" t="str">
        <f>$B$3</f>
        <v>Reference_Data_Manager</v>
      </c>
    </row>
    <row r="63" spans="1:3">
      <c r="A63" s="69" t="str">
        <f>H3</f>
        <v>Data can be mastered which makes it FAIR.
Essential for interoperability {()} {[( F1, A1, I1, R1.1 )]} – F1 provides general benefit for this role; A1 provides general benefit for this role; I1 provides general benefit for this role; R1.1 provides general benefit for this role.</v>
      </c>
    </row>
    <row r="64" spans="1:3">
      <c r="B64" s="69"/>
    </row>
    <row r="65" spans="1:2">
      <c r="A65" t="s">
        <v>883</v>
      </c>
      <c r="B65" t="str">
        <f>LEFT(A66,3)</f>
        <v xml:space="preserve">F1 </v>
      </c>
    </row>
    <row r="66" spans="1:2">
      <c r="A66" t="str">
        <f>I4</f>
        <v>F1 ensures that reference codes, vocabularies, and ontology terms are persistently identified, avoiding duplication and ambiguity</v>
      </c>
    </row>
    <row r="67" spans="1:2">
      <c r="A67" t="s">
        <v>883</v>
      </c>
      <c r="B67" t="str">
        <f>LEFT(A68,3)</f>
        <v xml:space="preserve"> F2</v>
      </c>
    </row>
    <row r="68" spans="1:2">
      <c r="A68" t="str">
        <f>I5</f>
        <v xml:space="preserve"> F2 provides rich metadata that documents definitions, hierarchies, and context of reference data and ontologies</v>
      </c>
    </row>
    <row r="69" spans="1:2">
      <c r="A69" t="s">
        <v>883</v>
      </c>
      <c r="B69" t="str">
        <f>LEFT(A70,3)</f>
        <v xml:space="preserve"> A1</v>
      </c>
    </row>
    <row r="70" spans="1:2">
      <c r="A70" t="str">
        <f>I6</f>
        <v xml:space="preserve"> A1 guarantees that reference datasets and ontologies are reliably accessible across the enterprise</v>
      </c>
    </row>
    <row r="71" spans="1:2">
      <c r="A71" t="s">
        <v>883</v>
      </c>
      <c r="B71" t="str">
        <f>LEFT(A72,3)</f>
        <v xml:space="preserve"> I1</v>
      </c>
    </row>
    <row r="72" spans="1:2">
      <c r="A72" t="str">
        <f>I7</f>
        <v xml:space="preserve"> I1 enables semantic interoperability, allowing ontologies and code lists to be consistently applied across systems and domains</v>
      </c>
    </row>
    <row r="73" spans="1:2">
      <c r="A73" t="s">
        <v>883</v>
      </c>
      <c r="B73" t="str">
        <f>LEFT(A74,3)</f>
        <v xml:space="preserve"> R1</v>
      </c>
    </row>
    <row r="74" spans="1:2">
      <c r="A74" t="str">
        <f>I8</f>
        <v xml:space="preserve"> R1.3 promotes reuse of community-aligned reference standards and ontologies, ensuring compliance and cross-industry compatibility.</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2649F76F-53D3-464D-842B-FCDDFB45E18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DF7C7C-E331-4F31-9B64-061A137AEF25}">
          <x14:formula1>
            <xm:f>'2025-Personas-FAIR-cleaned'!$B$3:$B$40</xm:f>
          </x14:formula1>
          <xm:sqref>B3 E5:E12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08F6-A3A8-49DA-858E-EAE0135CDF1B}">
  <dimension ref="A1:X90"/>
  <sheetViews>
    <sheetView topLeftCell="A21" workbookViewId="0">
      <selection activeCell="B21" sqref="B21"/>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251</v>
      </c>
      <c r="C3" s="99" t="str">
        <f>_xlfn.XLOOKUP($B3,'2025-Personas-FAIR-cleaned'!$B$3:$B$40,'2025-Personas-FAIR-cleaned'!$D$3:$D$40)</f>
        <v>Business-accountable role responsible for the value, quality, and compliance of a dataset} accountable for the data within a specific domain or dataset. This includes the quality, integrity, access control, compliance (to standards and FAIR) and usage policies of the data. [RS]: In the context of FAIR data principles, a Data Owner  has both the legal rights and managerial responsibility for a dataset. The Data Owner is responsible for establishing policies on who can access and use the data, ensuring compliance with relevant laws and standards, and managing permissions. They oversee the assignment of metadata, documentation, and maintenance of data quality, while ultimately being accountable for the dataset’s proper stewardship, even if routine management is delegated to others, ensuring the data remains FAIR-compliant at all times.</v>
      </c>
      <c r="D3" s="99" t="str">
        <f>_xlfn.XLOOKUP($B3,'2025-Personas-FAIR-cleaned'!$B$3:$B$40,'2025-Personas-FAIR-cleaned'!$G$3:$G$40)</f>
        <v>Business Data Owner; Data Asset Owner; Data Manager</v>
      </c>
      <c r="E3" s="100" t="str">
        <f>_xlfn.XLOOKUP($B3,'2025-Personas-FAIR-cleaned'!$B$3:$B$40,'2025-Personas-FAIR-cleaned'!$H$3:$H$40)</f>
        <v>Business_Leader,Business_Owner,Business_Analyst,Data_Steward,Project_Manager</v>
      </c>
      <c r="F3" s="99" t="str">
        <f>_xlfn.XLOOKUP($B3,'2025-Personas-FAIR-cleaned'!$B$3:$B$40,'2025-Personas-FAIR-cleaned'!$K$3:$K$40)</f>
        <v>[RS] : Oversees organizational data assets, setting and enforcing policies on data access, quality, security, and retention to align with business goals and compliance standards. Defines data governance protocols, approves data classifications, and manages risk by implementing security controls and evaluating threats. Approves changes to data systems, delegates stewardship tasks, and coordinates between business and technical teams. Promotes cross-functional collaboration, monitors data performance, provides advocacy and training on data governance, and manages resources to ensure robust, secure, and valuable data that supports strategic objectives and innovation.</v>
      </c>
      <c r="G3" s="99" t="str">
        <f>_xlfn.XLOOKUP($B3,'2025-Personas-FAIR-cleaned'!$B$3:$B$40,'2025-Personas-FAIR-cleaned'!$O$3:$O$40)</f>
        <v xml:space="preserve">Issues: In a non-FAIR environment, Data Owners face unclear data visibility, inconsistent governance enforcement, poor metadata and lineage, and limited control over data reuse. This increases regulatory, security, and reputational risk, complicates accountability, weakens cross-functional coordination, and makes it difficult to demonstrate compliance, value, and proper stewardship of data assets.
Latent Gains: </v>
      </c>
      <c r="H3" s="99" t="str">
        <f>_xlfn.XLOOKUP($B3,'2025-Personas-FAIR-cleaned'!$B$3:$B$40,'2025-Personas-FAIR-cleaned'!$M$3:$M$40)</f>
        <v>The FAIR principles are key guidelines for improving data management and harnessing the value of data assets. Implementing these principles can bring several potential benefits to an organization through the role of a Data Owner:
Potential FAIR Benefits:
1. Findable:
Enhanced Discoverability: By implementing standardized metadata and indexing, data becomes easily searchable, enabling stakeholders to quickly locate needed information.
Efficient Data Utilization: Improved discoverability reduces time spent searching for data, allowing teams to focus on analysis and decision-making.
2. Accessible:
Improved Data Sharing: Ensuring data accessibility through clearly defined protocols allows stakeholders across the organization to seamlessly access data, fostering collaboration.
Transparent Permission Structures: Establishing clear data access protocols reduces confusion and enhances security by ensuring only authorized users can access sensitive data.
3. Interoperable:
System Compatibility: Interoperable data can integrate across different systems and platforms, reducing silos and increasing data flow across functions.
Enhanced Collaboration: It simplifies data collaboration both internally and externally with partners, as data can be easily shared and utilized in a variety of formats without technical barriers.
4. Reusable:
Maximized Data Value: Data that is structured for reusability enhances its value by allowing teams to leverage it for multiple analyses and projects beyond its initial purpose.
Sustainability: Reusable data facilitates long-term sustainability of data assets, reducing duplication of efforts and promoting efficient use of resources.
Overall Benefits:
Improved Efficiency and Productivity: By applying the FAIR principles, organizations can streamline data processes and enhance productivity across teams by facilitating easier access and utilization of information.
Innovation and Strategic Insight: FAIR-aligned data management supports innovative uses of data, helping organizations develop new insights and strategic advances.
Robust Data Governance: The principles reinforce comprehensive data governance, promoting consistency, compliance, and security across data assets.
Reduced Costs: Efficient data management practices can reduce redundancies and minimize resource expenditure associated with data handling and storage.
Integrating the FAIR principles through the role of a Data Owner can greatly enhance the organization's ability to leverage data assets effectively, turning them into a cornerstone for business growth and transformation. {()} {[( F1, A1, I1, R1.1 )]} – F1 provides general benefit for this role; A1 provides general benefit for this role; I1 provides general benefit for this role; R1.1 provides general benefit for this role.</v>
      </c>
      <c r="I3" s="99" t="str">
        <f>_xlfn.XLOOKUP($B3,'2025-Personas-FAIR-cleaned'!$B$3:$B$40,'2025-Personas-FAIR-cleaned'!$P$3:$P$40)</f>
        <v>F1 ensures datasets under ownership are persistently identified, enabling clear accountability and traceability; F2 provides rich metadata that demonstrates the dataset’s purpose, scope, and quality to consumers; A1 guarantees reliable access controls so the owner can manage who uses the dataset; I1 enables interoperability with other organizational datasets, increasing business value; R1.1 assures reproducibility of results generated from the dataset, reinforcing trust in its use; R1.2 provides clarity on reuse through explicit licensing, reducing risks and negotiations for the data owner.</v>
      </c>
      <c r="J3" s="1"/>
      <c r="K3" s="1"/>
      <c r="L3" s="1"/>
      <c r="M3" s="1"/>
      <c r="N3" s="1"/>
      <c r="O3" s="1"/>
      <c r="P3" s="1"/>
      <c r="Q3" s="1"/>
      <c r="R3" s="1"/>
      <c r="S3" s="1"/>
      <c r="T3" s="1"/>
      <c r="U3" s="1"/>
      <c r="V3" s="1"/>
      <c r="W3" s="1"/>
      <c r="X3" s="1"/>
    </row>
    <row r="4" spans="1:24">
      <c r="D4" s="85" t="str" cm="1">
        <f t="array" ref="D4:D6">_xlfn.TEXTSPLIT(D3,,";")</f>
        <v>Business Data Owner</v>
      </c>
      <c r="E4" s="85" t="str" cm="1">
        <f t="array" ref="E4:E8">_xlfn.TEXTSPLIT(E3,,",")</f>
        <v>Business_Leader</v>
      </c>
      <c r="G4" s="85" t="str" cm="1">
        <f t="array" ref="G4:G5">_xlfn.TEXTSPLIT(G3,,"Latent")</f>
        <v xml:space="preserve">Issues: In a non-FAIR environment, Data Owners face unclear data visibility, inconsistent governance enforcement, poor metadata and lineage, and limited control over data reuse. This increases regulatory, security, and reputational risk, complicates accountability, weakens cross-functional coordination, and makes it difficult to demonstrate compliance, value, and proper stewardship of data assets.
</v>
      </c>
      <c r="I4" s="85" t="str" cm="1">
        <f t="array" ref="I4:I9">_xlfn.TEXTSPLIT(I3,,";")</f>
        <v>F1 ensures datasets under ownership are persistently identified, enabling clear accountability and traceability</v>
      </c>
    </row>
    <row r="5" spans="1:24">
      <c r="D5" s="85" t="str">
        <v xml:space="preserve"> Data Asset Owner</v>
      </c>
      <c r="E5" s="97" t="str">
        <v>Business_Owner</v>
      </c>
      <c r="G5" t="str">
        <v xml:space="preserve"> Gains: </v>
      </c>
      <c r="I5" t="str">
        <v xml:space="preserve"> F2 provides rich metadata that demonstrates the dataset’s purpose, scope, and quality to consumers</v>
      </c>
    </row>
    <row r="6" spans="1:24">
      <c r="D6" s="85" t="str">
        <v xml:space="preserve"> Data Manager</v>
      </c>
      <c r="E6" s="97" t="str">
        <v>Business_Analyst</v>
      </c>
      <c r="I6" t="str">
        <v xml:space="preserve"> A1 guarantees reliable access controls so the owner can manage who uses the dataset</v>
      </c>
    </row>
    <row r="7" spans="1:24">
      <c r="D7" s="85"/>
      <c r="E7" s="97" t="str">
        <v>Data_Steward</v>
      </c>
      <c r="I7" t="str">
        <v xml:space="preserve"> I1 enables interoperability with other organizational datasets, increasing business value</v>
      </c>
    </row>
    <row r="8" spans="1:24">
      <c r="D8" s="85"/>
      <c r="E8" s="97" t="str">
        <v>Project_Manager</v>
      </c>
      <c r="I8" t="str">
        <v xml:space="preserve"> R1.1 assures reproducibility of results generated from the dataset, reinforcing trust in its use</v>
      </c>
    </row>
    <row r="9" spans="1:24">
      <c r="D9" s="85"/>
      <c r="E9" s="97"/>
      <c r="I9" t="str">
        <v xml:space="preserve"> R1.2 provides clarity on reuse through explicit licensing, reducing risks and negotiations for the data owner.</v>
      </c>
    </row>
    <row r="10" spans="1:24">
      <c r="D10" s="85"/>
      <c r="E10" s="97"/>
    </row>
    <row r="11" spans="1:24">
      <c r="E11" s="97"/>
    </row>
    <row r="12" spans="1:24">
      <c r="E12" s="97"/>
    </row>
    <row r="16" spans="1:24">
      <c r="A16" s="4" t="s">
        <v>868</v>
      </c>
      <c r="B16" s="56" t="s">
        <v>869</v>
      </c>
    </row>
    <row r="17" spans="1:3">
      <c r="A17" s="4" t="s">
        <v>870</v>
      </c>
      <c r="B17" t="str">
        <f>CONCATENATE(B3,".md")</f>
        <v>Data_Owner.md</v>
      </c>
    </row>
    <row r="19" spans="1:3" s="94" customFormat="1">
      <c r="A19" s="93" t="s">
        <v>871</v>
      </c>
    </row>
    <row r="21" spans="1:3">
      <c r="A21" t="s">
        <v>872</v>
      </c>
      <c r="B21" t="str">
        <f>B3</f>
        <v>Data_Owner</v>
      </c>
    </row>
    <row r="22" spans="1:3">
      <c r="A22" t="str">
        <f>CONCATENATE("[",B3,"]","(",B16,B3,")")</f>
        <v>[Data_Owner](https://pistoiaalliance.github.io/FAIRMaturityMatrix/FAIR_personas/Data_Owner)</v>
      </c>
    </row>
    <row r="24" spans="1:3">
      <c r="A24" t="s">
        <v>873</v>
      </c>
      <c r="B24" t="s">
        <v>874</v>
      </c>
      <c r="C24" t="str">
        <f>$B$3</f>
        <v>Data_Owner</v>
      </c>
    </row>
    <row r="25" spans="1:3" ht="29.25">
      <c r="A25" t="s">
        <v>875</v>
      </c>
      <c r="B25" s="1" t="str">
        <f>CONCATENATE(B24," ",C24)</f>
        <v>Synonyms of  Data_Owner</v>
      </c>
      <c r="C25" t="s">
        <v>875</v>
      </c>
    </row>
    <row r="26" spans="1:3">
      <c r="A26" t="s">
        <v>875</v>
      </c>
      <c r="B26" t="s">
        <v>876</v>
      </c>
      <c r="C26" t="s">
        <v>875</v>
      </c>
    </row>
    <row r="27" spans="1:3">
      <c r="A27" t="s">
        <v>875</v>
      </c>
      <c r="B27" t="str">
        <f t="shared" ref="B27:B33" si="0">D4</f>
        <v>Business Data Owner</v>
      </c>
      <c r="C27" t="s">
        <v>875</v>
      </c>
    </row>
    <row r="28" spans="1:3">
      <c r="A28" t="s">
        <v>875</v>
      </c>
      <c r="B28" t="str">
        <f t="shared" si="0"/>
        <v xml:space="preserve"> Data Asset Owner</v>
      </c>
      <c r="C28" t="s">
        <v>875</v>
      </c>
    </row>
    <row r="29" spans="1:3">
      <c r="A29" t="s">
        <v>875</v>
      </c>
      <c r="B29" t="str">
        <f t="shared" si="0"/>
        <v xml:space="preserve"> Data Manager</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Data_Owner</v>
      </c>
    </row>
    <row r="36" spans="1:3">
      <c r="A36" t="str">
        <f>C3</f>
        <v>Business-accountable role responsible for the value, quality, and compliance of a dataset} accountable for the data within a specific domain or dataset. This includes the quality, integrity, access control, compliance (to standards and FAIR) and usage policies of the data. [RS]: In the context of FAIR data principles, a Data Owner  has both the legal rights and managerial responsibility for a dataset. The Data Owner is responsible for establishing policies on who can access and use the data, ensuring compliance with relevant laws and standards, and managing permissions. They oversee the assignment of metadata, documentation, and maintenance of data quality, while ultimately being accountable for the dataset’s proper stewardship, even if routine management is delegated to others, ensuring the data remains FAIR-compliant at all times.</v>
      </c>
    </row>
    <row r="39" spans="1:3">
      <c r="A39" s="69" t="s">
        <v>878</v>
      </c>
      <c r="B39" t="s">
        <v>879</v>
      </c>
      <c r="C39" t="str">
        <f>$B$3</f>
        <v>Data_Owner</v>
      </c>
    </row>
    <row r="40" spans="1:3" ht="29.25">
      <c r="A40" t="s">
        <v>875</v>
      </c>
      <c r="B40" s="1" t="str">
        <f>CONCATENATE(B39," ",C39)</f>
        <v>FAIR persona related to  Data_Owner</v>
      </c>
      <c r="C40" t="s">
        <v>875</v>
      </c>
    </row>
    <row r="41" spans="1:3">
      <c r="A41" t="s">
        <v>875</v>
      </c>
      <c r="B41" t="s">
        <v>876</v>
      </c>
      <c r="C41" t="s">
        <v>875</v>
      </c>
    </row>
    <row r="42" spans="1:3" ht="87">
      <c r="A42" t="s">
        <v>875</v>
      </c>
      <c r="B42" s="1" t="str">
        <f>CONCATENATE("[",E4,"]","(",$B$16,E4,")")</f>
        <v>[Business_Leader](https://pistoiaalliance.github.io/FAIRMaturityMatrix/FAIR_personas/Business_Leader)</v>
      </c>
      <c r="C42" t="s">
        <v>875</v>
      </c>
    </row>
    <row r="43" spans="1:3">
      <c r="A43" t="s">
        <v>875</v>
      </c>
      <c r="B43" t="str">
        <f t="shared" ref="B43:B49" si="1">CONCATENATE("[",E5,"]","(",$B$16,E5,")")</f>
        <v>[Business_Owner](https://pistoiaalliance.github.io/FAIRMaturityMatrix/FAIR_personas/Business_Owner)</v>
      </c>
      <c r="C43" t="s">
        <v>875</v>
      </c>
    </row>
    <row r="44" spans="1:3">
      <c r="A44" t="s">
        <v>875</v>
      </c>
      <c r="B44" t="str">
        <f t="shared" si="1"/>
        <v>[Business_Analyst](https://pistoiaalliance.github.io/FAIRMaturityMatrix/FAIR_personas/Business_Analyst)</v>
      </c>
      <c r="C44" t="s">
        <v>875</v>
      </c>
    </row>
    <row r="45" spans="1:3">
      <c r="A45" t="s">
        <v>875</v>
      </c>
      <c r="B45" t="str">
        <f t="shared" si="1"/>
        <v>[Data_Steward](https://pistoiaalliance.github.io/FAIRMaturityMatrix/FAIR_personas/Data_Steward)</v>
      </c>
      <c r="C45" t="s">
        <v>875</v>
      </c>
    </row>
    <row r="46" spans="1:3">
      <c r="A46" t="s">
        <v>875</v>
      </c>
      <c r="B46" t="str">
        <f t="shared" si="1"/>
        <v>[Project_Manager](https://pistoiaalliance.github.io/FAIRMaturityMatrix/FAIR_personas/Project_Manager)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Data_Owner</v>
      </c>
    </row>
    <row r="52" spans="1:3">
      <c r="A52" t="str">
        <f>F3</f>
        <v>[RS] : Oversees organizational data assets, setting and enforcing policies on data access, quality, security, and retention to align with business goals and compliance standards. Defines data governance protocols, approves data classifications, and manages risk by implementing security controls and evaluating threats. Approves changes to data systems, delegates stewardship tasks, and coordinates between business and technical teams. Promotes cross-functional collaboration, monitors data performance, provides advocacy and training on data governance, and manages resources to ensure robust, secure, and valuable data that supports strategic objectives and innovation.</v>
      </c>
    </row>
    <row r="55" spans="1:3">
      <c r="A55" t="s">
        <v>881</v>
      </c>
      <c r="B55" s="69" t="s">
        <v>882</v>
      </c>
      <c r="C55" t="str">
        <f>$B$3</f>
        <v>Data_Owner</v>
      </c>
    </row>
    <row r="56" spans="1:3">
      <c r="A56" t="s">
        <v>883</v>
      </c>
      <c r="B56" t="s">
        <v>884</v>
      </c>
      <c r="C56" t="str">
        <f>$B$3</f>
        <v>Data_Owner</v>
      </c>
    </row>
    <row r="57" spans="1:3">
      <c r="A57" t="str">
        <f>G4</f>
        <v xml:space="preserve">Issues: In a non-FAIR environment, Data Owners face unclear data visibility, inconsistent governance enforcement, poor metadata and lineage, and limited control over data reuse. This increases regulatory, security, and reputational risk, complicates accountability, weakens cross-functional coordination, and makes it difficult to demonstrate compliance, value, and proper stewardship of data assets.
</v>
      </c>
    </row>
    <row r="58" spans="1:3">
      <c r="A58" t="s">
        <v>883</v>
      </c>
      <c r="B58" t="s">
        <v>885</v>
      </c>
      <c r="C58" t="str">
        <f>$B$3</f>
        <v>Data_Owner</v>
      </c>
    </row>
    <row r="59" spans="1:3">
      <c r="A59" t="str">
        <f>CONCATENATE("Latent ",G5)</f>
        <v xml:space="preserve">Latent  Gains: </v>
      </c>
    </row>
    <row r="62" spans="1:3">
      <c r="A62" t="s">
        <v>873</v>
      </c>
      <c r="B62" s="69" t="s">
        <v>886</v>
      </c>
      <c r="C62" t="str">
        <f>$B$3</f>
        <v>Data_Owner</v>
      </c>
    </row>
    <row r="63" spans="1:3">
      <c r="A63" s="69" t="str">
        <f>H3</f>
        <v>The FAIR principles are key guidelines for improving data management and harnessing the value of data assets. Implementing these principles can bring several potential benefits to an organization through the role of a Data Owner:
Potential FAIR Benefits:
1. Findable:
Enhanced Discoverability: By implementing standardized metadata and indexing, data becomes easily searchable, enabling stakeholders to quickly locate needed information.
Efficient Data Utilization: Improved discoverability reduces time spent searching for data, allowing teams to focus on analysis and decision-making.
2. Accessible:
Improved Data Sharing: Ensuring data accessibility through clearly defined protocols allows stakeholders across the organization to seamlessly access data, fostering collaboration.
Transparent Permission Structures: Establishing clear data access protocols reduces confusion and enhances security by ensuring only authorized users can access sensitive data.
3. Interoperable:
System Compatibility: Interoperable data can integrate across different systems and platforms, reducing silos and increasing data flow across functions.
Enhanced Collaboration: It simplifies data collaboration both internally and externally with partners, as data can be easily shared and utilized in a variety of formats without technical barriers.
4. Reusable:
Maximized Data Value: Data that is structured for reusability enhances its value by allowing teams to leverage it for multiple analyses and projects beyond its initial purpose.
Sustainability: Reusable data facilitates long-term sustainability of data assets, reducing duplication of efforts and promoting efficient use of resources.
Overall Benefits:
Improved Efficiency and Productivity: By applying the FAIR principles, organizations can streamline data processes and enhance productivity across teams by facilitating easier access and utilization of information.
Innovation and Strategic Insight: FAIR-aligned data management supports innovative uses of data, helping organizations develop new insights and strategic advances.
Robust Data Governance: The principles reinforce comprehensive data governance, promoting consistency, compliance, and security across data assets.
Reduced Costs: Efficient data management practices can reduce redundancies and minimize resource expenditure associated with data handling and storage.
Integrating the FAIR principles through the role of a Data Owner can greatly enhance the organization's ability to leverage data assets effectively, turning them into a cornerstone for business growth and transformation. {()} {[( F1, A1, I1, R1.1 )]} – F1 provides general benefit for this role; A1 provides general benefit for this role; I1 provides general benefit for this role; R1.1 provides general benefit for this role.</v>
      </c>
    </row>
    <row r="64" spans="1:3">
      <c r="B64" s="69"/>
    </row>
    <row r="65" spans="1:2">
      <c r="A65" t="s">
        <v>883</v>
      </c>
      <c r="B65" t="str">
        <f>LEFT(A66,3)</f>
        <v xml:space="preserve">F1 </v>
      </c>
    </row>
    <row r="66" spans="1:2">
      <c r="A66" t="str">
        <f>I4</f>
        <v>F1 ensures datasets under ownership are persistently identified, enabling clear accountability and traceability</v>
      </c>
    </row>
    <row r="67" spans="1:2">
      <c r="A67" t="s">
        <v>883</v>
      </c>
      <c r="B67" t="str">
        <f>LEFT(A68,3)</f>
        <v xml:space="preserve"> F2</v>
      </c>
    </row>
    <row r="68" spans="1:2">
      <c r="A68" t="str">
        <f>I5</f>
        <v xml:space="preserve"> F2 provides rich metadata that demonstrates the dataset’s purpose, scope, and quality to consumers</v>
      </c>
    </row>
    <row r="69" spans="1:2">
      <c r="A69" t="s">
        <v>883</v>
      </c>
      <c r="B69" t="str">
        <f>LEFT(A70,3)</f>
        <v xml:space="preserve"> A1</v>
      </c>
    </row>
    <row r="70" spans="1:2">
      <c r="A70" t="str">
        <f>I6</f>
        <v xml:space="preserve"> A1 guarantees reliable access controls so the owner can manage who uses the dataset</v>
      </c>
    </row>
    <row r="71" spans="1:2">
      <c r="A71" t="s">
        <v>883</v>
      </c>
      <c r="B71" t="str">
        <f>LEFT(A72,3)</f>
        <v xml:space="preserve"> I1</v>
      </c>
    </row>
    <row r="72" spans="1:2">
      <c r="A72" t="str">
        <f>I7</f>
        <v xml:space="preserve"> I1 enables interoperability with other organizational datasets, increasing business value</v>
      </c>
    </row>
    <row r="73" spans="1:2">
      <c r="A73" t="s">
        <v>883</v>
      </c>
      <c r="B73" t="str">
        <f>LEFT(A74,3)</f>
        <v xml:space="preserve"> R1</v>
      </c>
    </row>
    <row r="74" spans="1:2">
      <c r="A74" t="str">
        <f>I8</f>
        <v xml:space="preserve"> R1.1 assures reproducibility of results generated from the dataset, reinforcing trust in its use</v>
      </c>
    </row>
    <row r="75" spans="1:2">
      <c r="A75" t="s">
        <v>883</v>
      </c>
      <c r="B75" t="str">
        <f>LEFT(A76,3)</f>
        <v xml:space="preserve"> R1</v>
      </c>
    </row>
    <row r="76" spans="1:2">
      <c r="A76" t="str">
        <f>I9</f>
        <v xml:space="preserve"> R1.2 provides clarity on reuse through explicit licensing, reducing risks and negotiations for the data owner.</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D2807A57-3642-4FB4-93FB-92D7BC9B1D6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DBCE1E0-94DB-4CED-88E0-C1FCA3106D8F}">
          <x14:formula1>
            <xm:f>'2025-Personas-FAIR-cleaned'!$B$3:$B$40</xm:f>
          </x14:formula1>
          <xm:sqref>B3 E5:E12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527A-D09B-4152-963E-9E2ABE5554EE}">
  <dimension ref="A1:X90"/>
  <sheetViews>
    <sheetView topLeftCell="A61" workbookViewId="0">
      <selection activeCell="A21" sqref="A21:C74"/>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320</v>
      </c>
      <c r="C3" s="99" t="str">
        <f>_xlfn.XLOOKUP($B3,'2025-Personas-FAIR-cleaned'!$B$3:$B$40,'2025-Personas-FAIR-cleaned'!$D$3:$D$40)</f>
        <v>A senior leader responsible for defining, developing, and executing an organization's overarching data strategy to align with business goals. This role translates business strategy into a data strategy, establishing the roadmap for how data will be collected, managed, governed, and leveraged to drive value and innovation across the company.</v>
      </c>
      <c r="D3" s="99" t="str">
        <f>_xlfn.XLOOKUP($B3,'2025-Personas-FAIR-cleaned'!$B$3:$B$40,'2025-Personas-FAIR-cleaned'!$G$3:$G$40)</f>
        <v>Chief Data Officer (CDO); Chief Analytics Officer (CAO); Head of Data Strategy;  Director of Data Strategy; Data Strategy Lead; Data Strategy &amp; Governance Lead</v>
      </c>
      <c r="E3" s="100" t="str">
        <f>_xlfn.XLOOKUP($B3,'2025-Personas-FAIR-cleaned'!$B$3:$B$40,'2025-Personas-FAIR-cleaned'!$H$3:$H$40)</f>
        <v>Business_Leader,Business_Analyst,Business_Owner,Project_Manager, Data_Steward</v>
      </c>
      <c r="F3" s="99" t="str">
        <f>_xlfn.XLOOKUP($B3,'2025-Personas-FAIR-cleaned'!$B$3:$B$40,'2025-Personas-FAIR-cleaned'!$K$3:$K$40)</f>
        <v>Data Strategy Owners set the strategic vision for how data supports business goals and defines priorities for data initiatives.
They ensure data management practices align with organizational objectives, enforce data policies, and are accountable for the quality, security, and compliance of the data.
The role involves making key decisions on data usage, resource allocation, and approving access or data sharing agreements.
They collaborate with business and technical teams to implement governance, manage risks, and support data-driven decision-making.
Continuous oversight of data quality, regulatory adherence, and alignment of data efforts with business strategy are core to their responsibilities{/ to complete}</v>
      </c>
      <c r="G3" s="99" t="str">
        <f>_xlfn.XLOOKUP($B3,'2025-Personas-FAIR-cleaned'!$B$3:$B$40,'2025-Personas-FAIR-cleaned'!$O$3:$O$40)</f>
        <v>Issues: without a strategy data and related tools may look very useful but may not solve any problems wasting time and money producting them. Latent gains: implementing FAIR principles would reduce these challenges and unlock efficiency, compliance, and reuse. [if this role doesn’t exist, the consequence are data silos]</v>
      </c>
      <c r="H3" s="99" t="str">
        <f>_xlfn.XLOOKUP($B3,'2025-Personas-FAIR-cleaned'!$B$3:$B$40,'2025-Personas-FAIR-cleaned'!$M$3:$M$40)</f>
        <v>FAIR benefits are mainly interoperability – ensuring all data are managed to linked/interoperable standards (which makes mapping possible) [if this role doesn’t exist, the consequence are data silos]</v>
      </c>
      <c r="I3" s="99" t="str">
        <f>_xlfn.XLOOKUP($B3,'2025-Personas-FAIR-cleaned'!$B$3:$B$40,'2025-Personas-FAIR-cleaned'!$P$3:$P$40)</f>
        <v>F1 provides persistent identifiers that underpin trustworthy, enterprise-wide data assets for strategic decision making; F2 ensures metadata richness so executives can evaluate the value and readiness of data for business opportunities; A1 guarantees that critical datasets are reliably accessible, enabling agility in responding to market shifts; I1 enables cross-domain interoperability, supporting enterprise-wide analytics and innovation; R1.2 clarifies reuse conditions, allowing leadership to safely unlock data assets for partnerships, monetization, and ecosystem engagement.</v>
      </c>
      <c r="J3" s="1"/>
      <c r="K3" s="1"/>
      <c r="L3" s="1"/>
      <c r="M3" s="1"/>
      <c r="N3" s="1"/>
      <c r="O3" s="1"/>
      <c r="P3" s="1"/>
      <c r="Q3" s="1"/>
      <c r="R3" s="1"/>
      <c r="S3" s="1"/>
      <c r="T3" s="1"/>
      <c r="U3" s="1"/>
      <c r="V3" s="1"/>
      <c r="W3" s="1"/>
      <c r="X3" s="1"/>
    </row>
    <row r="4" spans="1:24">
      <c r="D4" s="85" t="str" cm="1">
        <f t="array" ref="D4:D9">_xlfn.TEXTSPLIT(D3,,";")</f>
        <v>Chief Data Officer (CDO)</v>
      </c>
      <c r="E4" s="85" t="str" cm="1">
        <f t="array" ref="E4:E8">_xlfn.TEXTSPLIT(E3,,",")</f>
        <v>Business_Leader</v>
      </c>
      <c r="G4" s="85" t="str" cm="1">
        <f t="array" ref="G4:G5">_xlfn.TEXTSPLIT(G3,,"Latent")</f>
        <v xml:space="preserve">Issues: without a strategy data and related tools may look very useful but may not solve any problems wasting time and money producting them. </v>
      </c>
      <c r="I4" s="85" t="str" cm="1">
        <f t="array" ref="I4:I8">_xlfn.TEXTSPLIT(I3,,";")</f>
        <v>F1 provides persistent identifiers that underpin trustworthy, enterprise-wide data assets for strategic decision making</v>
      </c>
    </row>
    <row r="5" spans="1:24">
      <c r="D5" s="85" t="str">
        <v xml:space="preserve"> Chief Analytics Officer (CAO)</v>
      </c>
      <c r="E5" s="97" t="str">
        <v>Business_Analyst</v>
      </c>
      <c r="G5" t="str">
        <v xml:space="preserve"> gains: implementing FAIR principles would reduce these challenges and unlock efficiency, compliance, and reuse. [if this role doesn’t exist, the consequence are data silos]</v>
      </c>
      <c r="I5" t="str">
        <v xml:space="preserve"> F2 ensures metadata richness so executives can evaluate the value and readiness of data for business opportunities</v>
      </c>
    </row>
    <row r="6" spans="1:24">
      <c r="D6" s="85" t="str">
        <v xml:space="preserve"> Head of Data Strategy</v>
      </c>
      <c r="E6" s="97" t="str">
        <v>Business_Owner</v>
      </c>
      <c r="I6" t="str">
        <v xml:space="preserve"> A1 guarantees that critical datasets are reliably accessible, enabling agility in responding to market shifts</v>
      </c>
    </row>
    <row r="7" spans="1:24">
      <c r="D7" s="85" t="str">
        <v xml:space="preserve">  Director of Data Strategy</v>
      </c>
      <c r="E7" s="97" t="str">
        <v>Project_Manager</v>
      </c>
      <c r="I7" t="str">
        <v xml:space="preserve"> I1 enables cross-domain interoperability, supporting enterprise-wide analytics and innovation</v>
      </c>
    </row>
    <row r="8" spans="1:24">
      <c r="D8" s="85" t="str">
        <v xml:space="preserve"> Data Strategy Lead</v>
      </c>
      <c r="E8" s="97" t="str">
        <v xml:space="preserve"> Data_Steward</v>
      </c>
      <c r="I8" t="str">
        <v xml:space="preserve"> R1.2 clarifies reuse conditions, allowing leadership to safely unlock data assets for partnerships, monetization, and ecosystem engagement.</v>
      </c>
    </row>
    <row r="9" spans="1:24">
      <c r="D9" s="85" t="str">
        <v xml:space="preserve"> Data Strategy &amp; Governance Lead</v>
      </c>
      <c r="E9" s="97"/>
    </row>
    <row r="10" spans="1:24">
      <c r="D10" s="85"/>
      <c r="E10" s="97"/>
    </row>
    <row r="11" spans="1:24">
      <c r="E11" s="97"/>
    </row>
    <row r="12" spans="1:24">
      <c r="E12" s="97"/>
    </row>
    <row r="16" spans="1:24">
      <c r="A16" s="4" t="s">
        <v>868</v>
      </c>
      <c r="B16" s="56" t="s">
        <v>869</v>
      </c>
    </row>
    <row r="17" spans="1:3">
      <c r="A17" s="4" t="s">
        <v>870</v>
      </c>
      <c r="B17" t="str">
        <f>CONCATENATE(B3,".md")</f>
        <v>Data_Strategy_Owner.md</v>
      </c>
    </row>
    <row r="19" spans="1:3" s="94" customFormat="1">
      <c r="A19" s="93" t="s">
        <v>871</v>
      </c>
    </row>
    <row r="21" spans="1:3">
      <c r="A21" t="s">
        <v>872</v>
      </c>
      <c r="B21" t="str">
        <f>B3</f>
        <v>Data_Strategy_Owner</v>
      </c>
    </row>
    <row r="22" spans="1:3">
      <c r="A22" t="str">
        <f>CONCATENATE("[",B3,"]","(",B16,B3,")")</f>
        <v>[Data_Strategy_Owner](https://pistoiaalliance.github.io/FAIRMaturityMatrix/FAIR_personas/Data_Strategy_Owner)</v>
      </c>
    </row>
    <row r="24" spans="1:3">
      <c r="A24" t="s">
        <v>873</v>
      </c>
      <c r="B24" t="s">
        <v>874</v>
      </c>
      <c r="C24" t="str">
        <f>$B$3</f>
        <v>Data_Strategy_Owner</v>
      </c>
    </row>
    <row r="25" spans="1:3" ht="29.25">
      <c r="A25" t="s">
        <v>875</v>
      </c>
      <c r="B25" s="1" t="str">
        <f>CONCATENATE(B24," ",C24)</f>
        <v>Synonyms of  Data_Strategy_Owner</v>
      </c>
      <c r="C25" t="s">
        <v>875</v>
      </c>
    </row>
    <row r="26" spans="1:3">
      <c r="A26" t="s">
        <v>875</v>
      </c>
      <c r="B26" t="s">
        <v>876</v>
      </c>
      <c r="C26" t="s">
        <v>875</v>
      </c>
    </row>
    <row r="27" spans="1:3">
      <c r="A27" t="s">
        <v>875</v>
      </c>
      <c r="B27" t="str">
        <f t="shared" ref="B27:B33" si="0">D4</f>
        <v>Chief Data Officer (CDO)</v>
      </c>
      <c r="C27" t="s">
        <v>875</v>
      </c>
    </row>
    <row r="28" spans="1:3">
      <c r="A28" t="s">
        <v>875</v>
      </c>
      <c r="B28" t="str">
        <f t="shared" si="0"/>
        <v xml:space="preserve"> Chief Analytics Officer (CAO)</v>
      </c>
      <c r="C28" t="s">
        <v>875</v>
      </c>
    </row>
    <row r="29" spans="1:3">
      <c r="A29" t="s">
        <v>875</v>
      </c>
      <c r="B29" t="str">
        <f t="shared" si="0"/>
        <v xml:space="preserve"> Head of Data Strategy</v>
      </c>
      <c r="C29" t="s">
        <v>875</v>
      </c>
    </row>
    <row r="30" spans="1:3">
      <c r="A30" t="s">
        <v>875</v>
      </c>
      <c r="B30" t="str">
        <f t="shared" si="0"/>
        <v xml:space="preserve">  Director of Data Strategy</v>
      </c>
      <c r="C30" t="s">
        <v>875</v>
      </c>
    </row>
    <row r="31" spans="1:3">
      <c r="A31" t="s">
        <v>875</v>
      </c>
      <c r="B31" t="str">
        <f t="shared" si="0"/>
        <v xml:space="preserve"> Data Strategy Lead</v>
      </c>
      <c r="C31" t="s">
        <v>875</v>
      </c>
    </row>
    <row r="32" spans="1:3">
      <c r="A32" t="s">
        <v>875</v>
      </c>
      <c r="B32" t="str">
        <f t="shared" si="0"/>
        <v xml:space="preserve"> Data Strategy &amp; Governance Lead</v>
      </c>
      <c r="C32" t="s">
        <v>875</v>
      </c>
    </row>
    <row r="33" spans="1:3">
      <c r="A33" t="s">
        <v>875</v>
      </c>
      <c r="B33">
        <f t="shared" si="0"/>
        <v>0</v>
      </c>
      <c r="C33" t="s">
        <v>875</v>
      </c>
    </row>
    <row r="35" spans="1:3">
      <c r="A35" t="s">
        <v>873</v>
      </c>
      <c r="B35" t="s">
        <v>877</v>
      </c>
      <c r="C35" t="str">
        <f>$B$3</f>
        <v>Data_Strategy_Owner</v>
      </c>
    </row>
    <row r="36" spans="1:3">
      <c r="A36" t="str">
        <f>C3</f>
        <v>A senior leader responsible for defining, developing, and executing an organization's overarching data strategy to align with business goals. This role translates business strategy into a data strategy, establishing the roadmap for how data will be collected, managed, governed, and leveraged to drive value and innovation across the company.</v>
      </c>
    </row>
    <row r="39" spans="1:3">
      <c r="A39" s="69" t="s">
        <v>878</v>
      </c>
      <c r="B39" t="s">
        <v>879</v>
      </c>
      <c r="C39" t="str">
        <f>$B$3</f>
        <v>Data_Strategy_Owner</v>
      </c>
    </row>
    <row r="40" spans="1:3" ht="29.25">
      <c r="A40" t="s">
        <v>875</v>
      </c>
      <c r="B40" s="1" t="str">
        <f>CONCATENATE(B39," ",C39)</f>
        <v>FAIR persona related to  Data_Strategy_Owner</v>
      </c>
      <c r="C40" t="s">
        <v>875</v>
      </c>
    </row>
    <row r="41" spans="1:3">
      <c r="A41" t="s">
        <v>875</v>
      </c>
      <c r="B41" t="s">
        <v>876</v>
      </c>
      <c r="C41" t="s">
        <v>875</v>
      </c>
    </row>
    <row r="42" spans="1:3" ht="87">
      <c r="A42" t="s">
        <v>875</v>
      </c>
      <c r="B42" s="1" t="str">
        <f>CONCATENATE("[",E4,"]","(",$B$16,E4,")")</f>
        <v>[Business_Leader](https://pistoiaalliance.github.io/FAIRMaturityMatrix/FAIR_personas/Business_Leader)</v>
      </c>
      <c r="C42" t="s">
        <v>875</v>
      </c>
    </row>
    <row r="43" spans="1:3">
      <c r="A43" t="s">
        <v>875</v>
      </c>
      <c r="B43" t="str">
        <f t="shared" ref="B43:B49" si="1">CONCATENATE("[",E5,"]","(",$B$16,E5,")")</f>
        <v>[Business_Analyst](https://pistoiaalliance.github.io/FAIRMaturityMatrix/FAIR_personas/Business_Analyst)</v>
      </c>
      <c r="C43" t="s">
        <v>875</v>
      </c>
    </row>
    <row r="44" spans="1:3">
      <c r="A44" t="s">
        <v>875</v>
      </c>
      <c r="B44" t="str">
        <f t="shared" si="1"/>
        <v>[Business_Owner](https://pistoiaalliance.github.io/FAIRMaturityMatrix/FAIR_personas/Business_Owner)</v>
      </c>
      <c r="C44" t="s">
        <v>875</v>
      </c>
    </row>
    <row r="45" spans="1:3">
      <c r="A45" t="s">
        <v>875</v>
      </c>
      <c r="B45" t="str">
        <f t="shared" si="1"/>
        <v>[Project_Manager](https://pistoiaalliance.github.io/FAIRMaturityMatrix/FAIR_personas/Project_Manager)</v>
      </c>
      <c r="C45" t="s">
        <v>875</v>
      </c>
    </row>
    <row r="46" spans="1:3">
      <c r="A46" t="s">
        <v>875</v>
      </c>
      <c r="B46" t="str">
        <f t="shared" si="1"/>
        <v>[ Data_Steward](https://pistoiaalliance.github.io/FAIRMaturityMatrix/FAIR_personas/ Data_Steward)</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Data_Strategy_Owner</v>
      </c>
    </row>
    <row r="52" spans="1:3">
      <c r="A52" t="str">
        <f>F3</f>
        <v>Data Strategy Owners set the strategic vision for how data supports business goals and defines priorities for data initiatives.
They ensure data management practices align with organizational objectives, enforce data policies, and are accountable for the quality, security, and compliance of the data.
The role involves making key decisions on data usage, resource allocation, and approving access or data sharing agreements.
They collaborate with business and technical teams to implement governance, manage risks, and support data-driven decision-making.
Continuous oversight of data quality, regulatory adherence, and alignment of data efforts with business strategy are core to their responsibilities{/ to complete}</v>
      </c>
    </row>
    <row r="55" spans="1:3">
      <c r="A55" t="s">
        <v>881</v>
      </c>
      <c r="B55" s="69" t="s">
        <v>882</v>
      </c>
      <c r="C55" t="str">
        <f>$B$3</f>
        <v>Data_Strategy_Owner</v>
      </c>
    </row>
    <row r="56" spans="1:3">
      <c r="A56" t="s">
        <v>883</v>
      </c>
      <c r="B56" t="s">
        <v>884</v>
      </c>
      <c r="C56" t="str">
        <f>$B$3</f>
        <v>Data_Strategy_Owner</v>
      </c>
    </row>
    <row r="57" spans="1:3">
      <c r="A57" t="str">
        <f>G4</f>
        <v xml:space="preserve">Issues: without a strategy data and related tools may look very useful but may not solve any problems wasting time and money producting them. </v>
      </c>
    </row>
    <row r="58" spans="1:3">
      <c r="A58" t="s">
        <v>883</v>
      </c>
      <c r="B58" t="s">
        <v>885</v>
      </c>
      <c r="C58" t="str">
        <f>$B$3</f>
        <v>Data_Strategy_Owner</v>
      </c>
    </row>
    <row r="59" spans="1:3">
      <c r="A59" t="str">
        <f>CONCATENATE("Latent ",G5)</f>
        <v>Latent  gains: implementing FAIR principles would reduce these challenges and unlock efficiency, compliance, and reuse. [if this role doesn’t exist, the consequence are data silos]</v>
      </c>
    </row>
    <row r="62" spans="1:3">
      <c r="A62" t="s">
        <v>873</v>
      </c>
      <c r="B62" s="69" t="s">
        <v>886</v>
      </c>
      <c r="C62" t="str">
        <f>$B$3</f>
        <v>Data_Strategy_Owner</v>
      </c>
    </row>
    <row r="63" spans="1:3">
      <c r="A63" s="69" t="str">
        <f>H3</f>
        <v>FAIR benefits are mainly interoperability – ensuring all data are managed to linked/interoperable standards (which makes mapping possible) [if this role doesn’t exist, the consequence are data silos]</v>
      </c>
    </row>
    <row r="64" spans="1:3">
      <c r="B64" s="69"/>
    </row>
    <row r="65" spans="1:2">
      <c r="A65" t="s">
        <v>883</v>
      </c>
      <c r="B65" t="str">
        <f>LEFT(A66,3)</f>
        <v xml:space="preserve">F1 </v>
      </c>
    </row>
    <row r="66" spans="1:2">
      <c r="A66" t="str">
        <f>I4</f>
        <v>F1 provides persistent identifiers that underpin trustworthy, enterprise-wide data assets for strategic decision making</v>
      </c>
    </row>
    <row r="67" spans="1:2">
      <c r="A67" t="s">
        <v>883</v>
      </c>
      <c r="B67" t="str">
        <f>LEFT(A68,3)</f>
        <v xml:space="preserve"> F2</v>
      </c>
    </row>
    <row r="68" spans="1:2">
      <c r="A68" t="str">
        <f>I5</f>
        <v xml:space="preserve"> F2 ensures metadata richness so executives can evaluate the value and readiness of data for business opportunities</v>
      </c>
    </row>
    <row r="69" spans="1:2">
      <c r="A69" t="s">
        <v>883</v>
      </c>
      <c r="B69" t="str">
        <f>LEFT(A70,3)</f>
        <v xml:space="preserve"> A1</v>
      </c>
    </row>
    <row r="70" spans="1:2">
      <c r="A70" t="str">
        <f>I6</f>
        <v xml:space="preserve"> A1 guarantees that critical datasets are reliably accessible, enabling agility in responding to market shifts</v>
      </c>
    </row>
    <row r="71" spans="1:2">
      <c r="A71" t="s">
        <v>883</v>
      </c>
      <c r="B71" t="str">
        <f>LEFT(A72,3)</f>
        <v xml:space="preserve"> I1</v>
      </c>
    </row>
    <row r="72" spans="1:2">
      <c r="A72" t="str">
        <f>I7</f>
        <v xml:space="preserve"> I1 enables cross-domain interoperability, supporting enterprise-wide analytics and innovation</v>
      </c>
    </row>
    <row r="73" spans="1:2">
      <c r="A73" t="s">
        <v>883</v>
      </c>
      <c r="B73" t="str">
        <f>LEFT(A74,3)</f>
        <v xml:space="preserve"> R1</v>
      </c>
    </row>
    <row r="74" spans="1:2">
      <c r="A74" t="str">
        <f>I8</f>
        <v xml:space="preserve"> R1.2 clarifies reuse conditions, allowing leadership to safely unlock data assets for partnerships, monetization, and ecosystem engagement.</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DCA174C1-D403-49F4-A3A6-7CA4B9164F4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7EB6DD5-F1EB-4264-B2C2-ADE2D3CC7B41}">
          <x14:formula1>
            <xm:f>'2025-Personas-FAIR-cleaned'!$B$3:$B$40</xm:f>
          </x14:formula1>
          <xm:sqref>B3 E5:E12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AD34-5BF8-4A46-8F39-F1454E726933}">
  <dimension ref="A1:X90"/>
  <sheetViews>
    <sheetView topLeftCell="A68" workbookViewId="0">
      <selection activeCell="A21" sqref="A21:D77"/>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373</v>
      </c>
      <c r="C3" s="99" t="str">
        <f>_xlfn.XLOOKUP($B3,'2025-Personas-FAIR-cleaned'!$B$3:$B$40,'2025-Personas-FAIR-cleaned'!$D$3:$D$40)</f>
        <v>Role ensuring authoritative single sources of truth across the enterprise (e.g., products, customers, materials). Manages the master data in a given business domain. Responsible for managing vocabularies, code lists, and ontologies to ensure consistency and semantic alignment. Manages reference data to ensure master data from multiple sources are aligned.
An Enterprise Data Steward manages and enforces data governance policies at an enterprise level, bridging the gap between business users, data owners, and IT. They ensure that enterprise-wide data assets are properly defined, cataloged, and maintained.</v>
      </c>
      <c r="D3" s="99" t="str">
        <f>_xlfn.XLOOKUP($B3,'2025-Personas-FAIR-cleaned'!$B$3:$B$40,'2025-Personas-FAIR-cleaned'!$G$3:$G$40)</f>
        <v xml:space="preserve">Enterprise Data Manager; Data Domain Manager; Master Data Lead;  Master Data Steward; Master Data Coordinator; Reference Data Manager;  Enterprise Data Steward
</v>
      </c>
      <c r="E3" s="100" t="str">
        <f>_xlfn.XLOOKUP($B3,'2025-Personas-FAIR-cleaned'!$B$3:$B$40,'2025-Personas-FAIR-cleaned'!$H$3:$H$40)</f>
        <v>Business_Owner,Curator,Lab_Manager,Project_Manager,FAIR_Data_Architect,Data_Steward</v>
      </c>
      <c r="F3" s="99" t="str">
        <f>_xlfn.XLOOKUP($B3,'2025-Personas-FAIR-cleaned'!$B$3:$B$40,'2025-Personas-FAIR-cleaned'!$K$3:$K$40)</f>
        <v>Define and maintain enterprise master data standards; oversee creation, quality, and governance of master data domains (e.g., products, customers, materials); ensure harmonization and alignment across business units and IT systems; resolve data ownership conflicts and redundancies; collaborate with Data Stewards, Architects, and Analysts to embed FAIR principles into master data processes; monitor data quality KPIs and enforce remediation workflows; support regulatory reporting and compliance through accurate, consistent master data.
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v>
      </c>
      <c r="G3" s="99" t="str">
        <f>_xlfn.XLOOKUP($B3,'2025-Personas-FAIR-cleaned'!$B$3:$B$40,'2025-Personas-FAIR-cleaned'!$O$3:$O$40)</f>
        <v>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uncontrolled code list/version drift breaks integrations; missing lineage/provenance blocks auditability and impact analysis; manual crosswalks between vocabularies are fragile and not reusable; shadow MDMs emerge due to slow or ungoverned access; inconsistent deprecation/change notifications cause downstream breakage; limited API/access standards create friction for data consumers; mistrust in KPIs and AI models due to low-quality master data.
Latent gains if FAIR adopted: authoritative and uniquely identified master data provide a single source of truth across systems; standardized, well-described metadata improves discoverability, governance, and cross-domain alignment; secure and harmonized access protocols enable seamless data exchange while preserving control; shared vocabularies and ontologies eliminate semantic ambiguity and make integrations durable; rich provenance, lineage, and licensing information ensure auditability, trust, and regulatory readiness; reusable reference data and automated conformance checks reduce maintenance costs and speed up reporting; harmonized master data accelerates AI and analytics use cases, enhances data democratization, and builds confidence in enterprise-wide data-driven decision-making.</v>
      </c>
      <c r="H3" s="99" t="str">
        <f>_xlfn.XLOOKUP($B3,'2025-Personas-FAIR-cleaned'!$B$3:$B$40,'2025-Personas-FAIR-cleaned'!$M$3:$M$40)</f>
        <v>FAIR principles ensures authoritative, high-quality master and reference data consistently aligned across systems and business domains. FAIR makes master data findable through persistent identifiers and rich metadata, accessible via governed and auditable access points, interoperable through shared vocabularies and ontologies, and reusable thanks to embedded provenance and usage context. This foundation drives data democratization, empowering stakeholders across the enterprise with trusted, well-documented data assets, while supporting AI readiness through standardized, machine-actionable metadata. FAIR also strengthens regulatory compliance by ensuring that master data are fully traceable, governed, and reusable, reducing risk and improving auditability. Ultimately, FAIR maturity transforms data stewardship from an operational task into a strategic enabler of enterprise efficiency, data trust, and cross-domain interoperability.</v>
      </c>
      <c r="I3" s="99" t="str">
        <f>_xlfn.XLOOKUP($B3,'2025-Personas-FAIR-cleaned'!$B$3:$B$40,'2025-Personas-FAIR-cleaned'!$P$3:$P$40)</f>
        <v>F1 ensures authoritative entities (e.g., products, customers) have persistent identifiers, preventing duplication and ambiguity across systems; F2 provides rich metadata that defines business meaning, lineage, and ownership of master data; A1 guarantees secure but consistent access to authoritative master data across business units; I1/I2 enable interoperability and automated synchronization between enterprise systems; R1.1 assures reproducibility of reports and compliance filings that depend on master data; R1.2 clarifies reuse conditions, allowing trusted sharing of master data across internal and external stakeholders.</v>
      </c>
      <c r="J3" s="1"/>
      <c r="K3" s="1"/>
      <c r="L3" s="1"/>
      <c r="M3" s="1"/>
      <c r="N3" s="1"/>
      <c r="O3" s="1"/>
      <c r="P3" s="1"/>
      <c r="Q3" s="1"/>
      <c r="R3" s="1"/>
      <c r="S3" s="1"/>
      <c r="T3" s="1"/>
      <c r="U3" s="1"/>
      <c r="V3" s="1"/>
      <c r="W3" s="1"/>
      <c r="X3" s="1"/>
    </row>
    <row r="4" spans="1:24">
      <c r="D4" s="85" t="str" cm="1">
        <f t="array" ref="D4:D10">_xlfn.TEXTSPLIT(D3,,";")</f>
        <v>Enterprise Data Manager</v>
      </c>
      <c r="E4" s="85" t="str" cm="1">
        <f t="array" ref="E4:E9">_xlfn.TEXTSPLIT(E3,,",")</f>
        <v>Business_Owner</v>
      </c>
      <c r="G4" s="85" t="str" cm="1">
        <f t="array" ref="G4:G5">_xlfn.TEXTSPLIT(G3,,"Latent")</f>
        <v xml:space="preserve">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uncontrolled code list/version drift breaks integrations; missing lineage/provenance blocks auditability and impact analysis; manual crosswalks between vocabularies are fragile and not reusable; shadow MDMs emerge due to slow or ungoverned access; inconsistent deprecation/change notifications cause downstream breakage; limited API/access standards create friction for data consumers; mistrust in KPIs and AI models due to low-quality master data.
</v>
      </c>
      <c r="I4" s="85" t="str" cm="1">
        <f t="array" ref="I4:I9">_xlfn.TEXTSPLIT(I3,,";")</f>
        <v>F1 ensures authoritative entities (e.g., products, customers) have persistent identifiers, preventing duplication and ambiguity across systems</v>
      </c>
    </row>
    <row r="5" spans="1:24">
      <c r="D5" s="85" t="str">
        <v xml:space="preserve"> Data Domain Manager</v>
      </c>
      <c r="E5" s="97" t="str">
        <v>Curator</v>
      </c>
      <c r="G5" t="str">
        <v xml:space="preserve"> gains if FAIR adopted: authoritative and uniquely identified master data provide a single source of truth across systems; standardized, well-described metadata improves discoverability, governance, and cross-domain alignment; secure and harmonized access protocols enable seamless data exchange while preserving control; shared vocabularies and ontologies eliminate semantic ambiguity and make integrations durable; rich provenance, lineage, and licensing information ensure auditability, trust, and regulatory readiness; reusable reference data and automated conformance checks reduce maintenance costs and speed up reporting; harmonized master data accelerates AI and analytics use cases, enhances data democratization, and builds confidence in enterprise-wide data-driven decision-making.</v>
      </c>
      <c r="I5" t="str">
        <v xml:space="preserve"> F2 provides rich metadata that defines business meaning, lineage, and ownership of master data</v>
      </c>
    </row>
    <row r="6" spans="1:24">
      <c r="D6" s="85" t="str">
        <v xml:space="preserve"> Master Data Lead</v>
      </c>
      <c r="E6" s="97" t="str">
        <v>Lab_Manager</v>
      </c>
      <c r="I6" t="str">
        <v xml:space="preserve"> A1 guarantees secure but consistent access to authoritative master data across business units</v>
      </c>
    </row>
    <row r="7" spans="1:24">
      <c r="D7" s="85" t="str">
        <v xml:space="preserve">  Master Data Steward</v>
      </c>
      <c r="E7" s="97" t="str">
        <v>Project_Manager</v>
      </c>
      <c r="I7" t="str">
        <v xml:space="preserve"> I1/I2 enable interoperability and automated synchronization between enterprise systems</v>
      </c>
    </row>
    <row r="8" spans="1:24">
      <c r="D8" s="85" t="str">
        <v xml:space="preserve"> Master Data Coordinator</v>
      </c>
      <c r="E8" s="97" t="str">
        <v>FAIR_Data_Architect</v>
      </c>
      <c r="I8" t="str">
        <v xml:space="preserve"> R1.1 assures reproducibility of reports and compliance filings that depend on master data</v>
      </c>
    </row>
    <row r="9" spans="1:24">
      <c r="D9" s="85" t="str">
        <v xml:space="preserve"> Reference Data Manager</v>
      </c>
      <c r="E9" s="97" t="str">
        <v>Data_Steward</v>
      </c>
      <c r="I9" t="str">
        <v xml:space="preserve"> R1.2 clarifies reuse conditions, allowing trusted sharing of master data across internal and external stakeholders.</v>
      </c>
    </row>
    <row r="10" spans="1:24">
      <c r="D10" s="85" t="str">
        <v xml:space="preserve">  Enterprise Data Steward
</v>
      </c>
      <c r="E10" s="97"/>
    </row>
    <row r="11" spans="1:24">
      <c r="E11" s="97"/>
    </row>
    <row r="12" spans="1:24">
      <c r="E12" s="97"/>
    </row>
    <row r="16" spans="1:24">
      <c r="A16" s="4" t="s">
        <v>868</v>
      </c>
      <c r="B16" s="56" t="s">
        <v>869</v>
      </c>
    </row>
    <row r="17" spans="1:3">
      <c r="A17" s="4" t="s">
        <v>870</v>
      </c>
      <c r="B17" t="str">
        <f>CONCATENATE(B3,".md")</f>
        <v>Master_Data_Manager.md</v>
      </c>
    </row>
    <row r="19" spans="1:3" s="94" customFormat="1">
      <c r="A19" s="93" t="s">
        <v>871</v>
      </c>
    </row>
    <row r="21" spans="1:3">
      <c r="A21" t="s">
        <v>872</v>
      </c>
      <c r="B21" t="str">
        <f>B3</f>
        <v>Master_Data_Manager</v>
      </c>
    </row>
    <row r="22" spans="1:3">
      <c r="A22" t="str">
        <f>CONCATENATE("[",B3,"]","(",B16,B3,")")</f>
        <v>[Master_Data_Manager](https://pistoiaalliance.github.io/FAIRMaturityMatrix/FAIR_personas/Master_Data_Manager)</v>
      </c>
    </row>
    <row r="24" spans="1:3">
      <c r="A24" t="s">
        <v>873</v>
      </c>
      <c r="B24" t="s">
        <v>874</v>
      </c>
      <c r="C24" t="str">
        <f>$B$3</f>
        <v>Master_Data_Manager</v>
      </c>
    </row>
    <row r="25" spans="1:3" ht="45">
      <c r="A25" t="s">
        <v>875</v>
      </c>
      <c r="B25" s="1" t="str">
        <f>CONCATENATE(B24," ",C24)</f>
        <v>Synonyms of  Master_Data_Manager</v>
      </c>
      <c r="C25" t="s">
        <v>875</v>
      </c>
    </row>
    <row r="26" spans="1:3">
      <c r="A26" t="s">
        <v>875</v>
      </c>
      <c r="B26" t="s">
        <v>876</v>
      </c>
      <c r="C26" t="s">
        <v>875</v>
      </c>
    </row>
    <row r="27" spans="1:3">
      <c r="A27" t="s">
        <v>875</v>
      </c>
      <c r="B27" t="str">
        <f t="shared" ref="B27:B33" si="0">D4</f>
        <v>Enterprise Data Manager</v>
      </c>
      <c r="C27" t="s">
        <v>875</v>
      </c>
    </row>
    <row r="28" spans="1:3">
      <c r="A28" t="s">
        <v>875</v>
      </c>
      <c r="B28" t="str">
        <f t="shared" si="0"/>
        <v xml:space="preserve"> Data Domain Manager</v>
      </c>
      <c r="C28" t="s">
        <v>875</v>
      </c>
    </row>
    <row r="29" spans="1:3">
      <c r="A29" t="s">
        <v>875</v>
      </c>
      <c r="B29" t="str">
        <f t="shared" si="0"/>
        <v xml:space="preserve"> Master Data Lead</v>
      </c>
      <c r="C29" t="s">
        <v>875</v>
      </c>
    </row>
    <row r="30" spans="1:3">
      <c r="A30" t="s">
        <v>875</v>
      </c>
      <c r="B30" t="str">
        <f t="shared" si="0"/>
        <v xml:space="preserve">  Master Data Steward</v>
      </c>
      <c r="C30" t="s">
        <v>875</v>
      </c>
    </row>
    <row r="31" spans="1:3">
      <c r="A31" t="s">
        <v>875</v>
      </c>
      <c r="B31" t="str">
        <f t="shared" si="0"/>
        <v xml:space="preserve"> Master Data Coordinator</v>
      </c>
      <c r="C31" t="s">
        <v>875</v>
      </c>
    </row>
    <row r="32" spans="1:3">
      <c r="A32" t="s">
        <v>875</v>
      </c>
      <c r="B32" t="str">
        <f t="shared" si="0"/>
        <v xml:space="preserve"> Reference Data Manager</v>
      </c>
      <c r="C32" t="s">
        <v>875</v>
      </c>
    </row>
    <row r="33" spans="1:3">
      <c r="A33" t="s">
        <v>875</v>
      </c>
      <c r="B33" t="str">
        <f t="shared" si="0"/>
        <v xml:space="preserve">  Enterprise Data Steward
</v>
      </c>
      <c r="C33" t="s">
        <v>875</v>
      </c>
    </row>
    <row r="35" spans="1:3">
      <c r="A35" t="s">
        <v>873</v>
      </c>
      <c r="B35" t="s">
        <v>877</v>
      </c>
      <c r="C35" t="str">
        <f>$B$3</f>
        <v>Master_Data_Manager</v>
      </c>
    </row>
    <row r="36" spans="1:3">
      <c r="A36" t="str">
        <f>C3</f>
        <v>Role ensuring authoritative single sources of truth across the enterprise (e.g., products, customers, materials). Manages the master data in a given business domain. Responsible for managing vocabularies, code lists, and ontologies to ensure consistency and semantic alignment. Manages reference data to ensure master data from multiple sources are aligned.
An Enterprise Data Steward manages and enforces data governance policies at an enterprise level, bridging the gap between business users, data owners, and IT. They ensure that enterprise-wide data assets are properly defined, cataloged, and maintained.</v>
      </c>
    </row>
    <row r="39" spans="1:3">
      <c r="A39" s="69" t="s">
        <v>878</v>
      </c>
      <c r="B39" t="s">
        <v>879</v>
      </c>
      <c r="C39" t="str">
        <f>$B$3</f>
        <v>Master_Data_Manager</v>
      </c>
    </row>
    <row r="40" spans="1:3" ht="60">
      <c r="A40" t="s">
        <v>875</v>
      </c>
      <c r="B40" s="1" t="str">
        <f>CONCATENATE(B39," ",C39)</f>
        <v>FAIR persona related to  Master_Data_Manager</v>
      </c>
      <c r="C40" t="s">
        <v>875</v>
      </c>
    </row>
    <row r="41" spans="1:3">
      <c r="A41" t="s">
        <v>875</v>
      </c>
      <c r="B41" t="s">
        <v>876</v>
      </c>
      <c r="C41" t="s">
        <v>875</v>
      </c>
    </row>
    <row r="42" spans="1:3" ht="75">
      <c r="A42" t="s">
        <v>875</v>
      </c>
      <c r="B42" s="1" t="str">
        <f>CONCATENATE("[",E4,"]","(",$B$16,E4,")")</f>
        <v>[Business_Owner](https://pistoiaalliance.github.io/FAIRMaturityMatrix/FAIR_personas/Business_Owner)</v>
      </c>
      <c r="C42" t="s">
        <v>875</v>
      </c>
    </row>
    <row r="43" spans="1:3">
      <c r="A43" t="s">
        <v>875</v>
      </c>
      <c r="B43" t="str">
        <f t="shared" ref="B43:B49" si="1">CONCATENATE("[",E5,"]","(",$B$16,E5,")")</f>
        <v>[Curator](https://pistoiaalliance.github.io/FAIRMaturityMatrix/FAIR_personas/Curator)</v>
      </c>
      <c r="C43" t="s">
        <v>875</v>
      </c>
    </row>
    <row r="44" spans="1:3">
      <c r="A44" t="s">
        <v>875</v>
      </c>
      <c r="B44" t="str">
        <f t="shared" si="1"/>
        <v>[Lab_Manager](https://pistoiaalliance.github.io/FAIRMaturityMatrix/FAIR_personas/Lab_Manager)</v>
      </c>
      <c r="C44" t="s">
        <v>875</v>
      </c>
    </row>
    <row r="45" spans="1:3">
      <c r="A45" t="s">
        <v>875</v>
      </c>
      <c r="B45" t="str">
        <f t="shared" si="1"/>
        <v>[Project_Manager](https://pistoiaalliance.github.io/FAIRMaturityMatrix/FAIR_personas/Project_Manager)</v>
      </c>
      <c r="C45" t="s">
        <v>875</v>
      </c>
    </row>
    <row r="46" spans="1:3">
      <c r="A46" t="s">
        <v>875</v>
      </c>
      <c r="B46" t="str">
        <f t="shared" si="1"/>
        <v>[FAIR_Data_Architect](https://pistoiaalliance.github.io/FAIRMaturityMatrix/FAIR_personas/FAIR_Data_Architect)</v>
      </c>
      <c r="C46" t="s">
        <v>875</v>
      </c>
    </row>
    <row r="47" spans="1:3">
      <c r="A47" t="s">
        <v>875</v>
      </c>
      <c r="B47" t="str">
        <f t="shared" si="1"/>
        <v>[Data_Steward](https://pistoiaalliance.github.io/FAIRMaturityMatrix/FAIR_personas/Data_Steward)</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Master_Data_Manager</v>
      </c>
    </row>
    <row r="52" spans="1:3">
      <c r="A52" t="str">
        <f>F3</f>
        <v>Define and maintain enterprise master data standards; oversee creation, quality, and governance of master data domains (e.g., products, customers, materials); ensure harmonization and alignment across business units and IT systems; resolve data ownership conflicts and redundancies; collaborate with Data Stewards, Architects, and Analysts to embed FAIR principles into master data processes; monitor data quality KPIs and enforce remediation workflows; support regulatory reporting and compliance through accurate, consistent master data.
Owns the consistency, versioning, and controlled distribution of reference data across the enterprise
Catalogue domains, owners, schemas, hierarchies, valid values. Define governance (RACI), versioning, and change workflows. Build/maintain crosswalk, publish via APIs
Run DQ checks, monitor SLAs, communicate releases
Maintain audit trails, lineage, and documentation</v>
      </c>
    </row>
    <row r="55" spans="1:3">
      <c r="A55" t="s">
        <v>881</v>
      </c>
      <c r="B55" s="69" t="s">
        <v>882</v>
      </c>
      <c r="C55" t="str">
        <f>$B$3</f>
        <v>Master_Data_Manager</v>
      </c>
    </row>
    <row r="56" spans="1:3">
      <c r="A56" t="s">
        <v>883</v>
      </c>
      <c r="B56" t="s">
        <v>884</v>
      </c>
      <c r="C56" t="str">
        <f>$B$3</f>
        <v>Master_Data_Manager</v>
      </c>
    </row>
    <row r="57" spans="1:3">
      <c r="A57" t="str">
        <f>G4</f>
        <v xml:space="preserve">Issues: duplicated and inconsistent master data across business units; lack of persistent identifiers creates ambiguity in reporting; poor metadata prevents discovery of authoritative records; siloed systems hinder integration and interoperability; unclear ownership slows resolution of data quality issues; regulatory submissions are delayed or error-prone due to conflicting datasets; uncontrolled code list/version drift breaks integrations; missing lineage/provenance blocks auditability and impact analysis; manual crosswalks between vocabularies are fragile and not reusable; shadow MDMs emerge due to slow or ungoverned access; inconsistent deprecation/change notifications cause downstream breakage; limited API/access standards create friction for data consumers; mistrust in KPIs and AI models due to low-quality master data.
</v>
      </c>
    </row>
    <row r="58" spans="1:3">
      <c r="A58" t="s">
        <v>883</v>
      </c>
      <c r="B58" t="s">
        <v>885</v>
      </c>
      <c r="C58" t="str">
        <f>$B$3</f>
        <v>Master_Data_Manager</v>
      </c>
    </row>
    <row r="59" spans="1:3">
      <c r="A59" t="str">
        <f>CONCATENATE("Latent ",G5)</f>
        <v>Latent  gains if FAIR adopted: authoritative and uniquely identified master data provide a single source of truth across systems; standardized, well-described metadata improves discoverability, governance, and cross-domain alignment; secure and harmonized access protocols enable seamless data exchange while preserving control; shared vocabularies and ontologies eliminate semantic ambiguity and make integrations durable; rich provenance, lineage, and licensing information ensure auditability, trust, and regulatory readiness; reusable reference data and automated conformance checks reduce maintenance costs and speed up reporting; harmonized master data accelerates AI and analytics use cases, enhances data democratization, and builds confidence in enterprise-wide data-driven decision-making.</v>
      </c>
    </row>
    <row r="62" spans="1:3">
      <c r="A62" t="s">
        <v>873</v>
      </c>
      <c r="B62" s="69" t="s">
        <v>886</v>
      </c>
      <c r="C62" t="str">
        <f>$B$3</f>
        <v>Master_Data_Manager</v>
      </c>
    </row>
    <row r="63" spans="1:3">
      <c r="A63" s="69" t="str">
        <f>H3</f>
        <v>FAIR principles ensures authoritative, high-quality master and reference data consistently aligned across systems and business domains. FAIR makes master data findable through persistent identifiers and rich metadata, accessible via governed and auditable access points, interoperable through shared vocabularies and ontologies, and reusable thanks to embedded provenance and usage context. This foundation drives data democratization, empowering stakeholders across the enterprise with trusted, well-documented data assets, while supporting AI readiness through standardized, machine-actionable metadata. FAIR also strengthens regulatory compliance by ensuring that master data are fully traceable, governed, and reusable, reducing risk and improving auditability. Ultimately, FAIR maturity transforms data stewardship from an operational task into a strategic enabler of enterprise efficiency, data trust, and cross-domain interoperability.</v>
      </c>
    </row>
    <row r="64" spans="1:3">
      <c r="B64" s="69"/>
    </row>
    <row r="65" spans="1:2">
      <c r="A65" t="s">
        <v>883</v>
      </c>
      <c r="B65" t="str">
        <f>LEFT(A66,3)</f>
        <v xml:space="preserve">F1 </v>
      </c>
    </row>
    <row r="66" spans="1:2">
      <c r="A66" t="str">
        <f>I4</f>
        <v>F1 ensures authoritative entities (e.g., products, customers) have persistent identifiers, preventing duplication and ambiguity across systems</v>
      </c>
    </row>
    <row r="67" spans="1:2">
      <c r="A67" t="s">
        <v>883</v>
      </c>
      <c r="B67" t="str">
        <f>LEFT(A68,3)</f>
        <v xml:space="preserve"> F2</v>
      </c>
    </row>
    <row r="68" spans="1:2">
      <c r="A68" t="str">
        <f>I5</f>
        <v xml:space="preserve"> F2 provides rich metadata that defines business meaning, lineage, and ownership of master data</v>
      </c>
    </row>
    <row r="69" spans="1:2">
      <c r="A69" t="s">
        <v>883</v>
      </c>
      <c r="B69" t="str">
        <f>LEFT(A70,3)</f>
        <v xml:space="preserve"> A1</v>
      </c>
    </row>
    <row r="70" spans="1:2">
      <c r="A70" t="str">
        <f>I6</f>
        <v xml:space="preserve"> A1 guarantees secure but consistent access to authoritative master data across business units</v>
      </c>
    </row>
    <row r="71" spans="1:2">
      <c r="A71" t="s">
        <v>883</v>
      </c>
      <c r="B71" t="str">
        <f>LEFT(A72,3)</f>
        <v xml:space="preserve"> I1</v>
      </c>
    </row>
    <row r="72" spans="1:2">
      <c r="A72" t="str">
        <f>I7</f>
        <v xml:space="preserve"> I1/I2 enable interoperability and automated synchronization between enterprise systems</v>
      </c>
    </row>
    <row r="73" spans="1:2">
      <c r="A73" t="s">
        <v>883</v>
      </c>
      <c r="B73" t="str">
        <f>LEFT(A74,3)</f>
        <v xml:space="preserve"> R1</v>
      </c>
    </row>
    <row r="74" spans="1:2">
      <c r="A74" t="str">
        <f>I8</f>
        <v xml:space="preserve"> R1.1 assures reproducibility of reports and compliance filings that depend on master data</v>
      </c>
    </row>
    <row r="75" spans="1:2">
      <c r="A75" t="s">
        <v>883</v>
      </c>
      <c r="B75" t="str">
        <f>LEFT(A76,3)</f>
        <v xml:space="preserve"> R1</v>
      </c>
    </row>
    <row r="76" spans="1:2">
      <c r="A76" t="str">
        <f>I9</f>
        <v xml:space="preserve"> R1.2 clarifies reuse conditions, allowing trusted sharing of master data across internal and external stakeholders.</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F0D443E8-64B6-4842-B07F-798D0F6DC37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CEBA887-54B6-4160-ADE8-601D77A1E6FB}">
          <x14:formula1>
            <xm:f>'2025-Personas-FAIR-cleaned'!$B$3:$B$40</xm:f>
          </x14:formula1>
          <xm:sqref>B3 E5:E12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550D-0325-4B2E-8568-273E9A81BDEF}">
  <dimension ref="A1:X90"/>
  <sheetViews>
    <sheetView topLeftCell="A21" workbookViewId="0">
      <selection activeCell="A21" sqref="A21"/>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108" t="s">
        <v>290</v>
      </c>
      <c r="C3" s="99" t="str">
        <f>_xlfn.XLOOKUP($B3,'2025-Personas-FAIR-cleaned'!$B$3:$B$40,'2025-Personas-FAIR-cleaned'!$D$3:$D$40)</f>
        <v>Acts as a governance advisor and facilitator, ensuring the adoption and compliance of data standards across the organization.
Provides expertise on data standards and governance within a specific business function.
Defines how data is managed, protected, and used across the enterprise by establishing policies, standards, and roles that ensure data is accurate, secure, compliant with regulations, and aligned with business objectives.</v>
      </c>
      <c r="D3" s="99" t="str">
        <f>_xlfn.XLOOKUP($B3,'2025-Personas-FAIR-cleaned'!$B$3:$B$40,'2025-Personas-FAIR-cleaned'!$G$3:$G$40)</f>
        <v>Policy Maker; Data Governance Lead; Information Governance Manager; Policy Owner</v>
      </c>
      <c r="E3" s="100" t="str">
        <f>_xlfn.XLOOKUP($B3,'2025-Personas-FAIR-cleaned'!$B$3:$B$40,'2025-Personas-FAIR-cleaned'!$H$3:$H$40)</f>
        <v>Business_Analyst,Data_Owner,Data_Steward,Researcher</v>
      </c>
      <c r="F3" s="99" t="str">
        <f>_xlfn.XLOOKUP($B3,'2025-Personas-FAIR-cleaned'!$B$3:$B$40,'2025-Personas-FAIR-cleaned'!$K$3:$K$40)</f>
        <v>ensures consistent, compliant, and interoperable data practices across research and manufacturing. Working with scientists and technical teams, the expert defines and maintains controlled vocabularies and standardized term lists for Laboratory Information Management Systems (LIMS) and Manufacturing Execution Systems (MES), ensuring methods, processes, and data are recorded in FAIR-compliant formats before integration into central databases.
In production contexts such as tablet manufacturing, the expert applies the ISA-88 (S88) standard to structure and harmonize process data. The role defines and enforces policies for data quality, security, privacy, and usage; assigns ownership and stewardship responsibilities; and ensures compliance with internal standards and external regulations.
The expert maintains visibility of data provenance and lineage to ensure traceability and trust, promotes adoption of governance frameworks across business and technical functions, and monitors the effectiveness of data standards to support reliable, reusable, and regulatory-ready information.</v>
      </c>
      <c r="G3" s="99" t="str">
        <f>_xlfn.XLOOKUP($B3,'2025-Personas-FAIR-cleaned'!$B$3:$B$40,'2025-Personas-FAIR-cleaned'!$O$3:$O$40)</f>
        <v>Issues: Convincing scientists to invest time upfront in structured data capture remains the main hurdle. Benefits of FAIR are not immediately visible, leading to resistance and inconsistent adoption. Metadata entry is seen as extra work; tools and vocabularies remain fragmented across LIMS, MES, and ELN systems. Legacy data, unclear ownership, and competing standards add friction, while governance enforcement and balancing compliance with usability continue to challenge implementation.
Latent gains: Once FAIR principles are embedded, data becomes findable, traceable, and reusable across research and manufacturing. Efficiency improves through reduced duplication and faster access to validated information. Compliance and audit readiness strengthen through clear provenance and standardization. Harmonized data flows enable interoperability, AI-driven analytics, and sustained knowledge reuse—turning governance from a control mechanism into a catalyst for scientific productivity and long-term data value.</v>
      </c>
      <c r="H3" s="99" t="str">
        <f>_xlfn.XLOOKUP($B3,'2025-Personas-FAIR-cleaned'!$B$3:$B$40,'2025-Personas-FAIR-cleaned'!$M$3:$M$40)</f>
        <v xml:space="preserve"> FAIR principles transforms data governance from a compliance obligation into a strategic enabler of efficiency, quality, and trust. FAIR ensures that data is findable and discoverable across systems, reducing duplication and enabling reuse of validated information. Accessibility allows authorized users to retrieve data seamlessly within compliant frameworks, while interoperability enables consistent data exchange across instruments, laboratories, and business units without loss of meaning—directly supporting harmonization of LIMS, MES, and enterprise data models. Reusability extends the value of high-quality, well-documented data, improving reproducibility, regulatory readiness, and analytics potential. For this expert, FAIR provides a concrete framework to drive standardization, traceability, and continuous improvement, turning governance into a catalyst for innovation and long-term organizational learning.</v>
      </c>
      <c r="I3" s="99" t="str">
        <f>_xlfn.XLOOKUP($B3,'2025-Personas-FAIR-cleaned'!$B$3:$B$40,'2025-Personas-FAIR-cleaned'!$P$3:$P$40)</f>
        <v>F1 provides persistent identifiers that governance experts can mandate to ensure data is consistently referenced across the organization; F2 enriches metadata so governance frameworks can require transparency and completeness; A1 guarantees that access protocols are standardized, making governance policies easier to enforce; I1 ensures interoperability across domains, allowing governance rules to scale enterprise-wide; R1.3 promotes reuse of data aligned with recognized community and industry standards, reinforcing organizational compliance and credibility.</v>
      </c>
      <c r="J3" s="1"/>
      <c r="K3" s="1"/>
      <c r="L3" s="1"/>
      <c r="M3" s="1"/>
      <c r="N3" s="1"/>
      <c r="O3" s="1"/>
      <c r="P3" s="1"/>
      <c r="Q3" s="1"/>
      <c r="R3" s="1"/>
      <c r="S3" s="1"/>
      <c r="T3" s="1"/>
      <c r="U3" s="1"/>
      <c r="V3" s="1"/>
      <c r="W3" s="1"/>
      <c r="X3" s="1"/>
    </row>
    <row r="4" spans="1:24">
      <c r="D4" s="85" t="str" cm="1">
        <f t="array" ref="D4:D7">_xlfn.TEXTSPLIT(D3,,";")</f>
        <v>Policy Maker</v>
      </c>
      <c r="E4" s="85" t="str" cm="1">
        <f t="array" ref="E4:E7">_xlfn.TEXTSPLIT(E3,,",")</f>
        <v>Business_Analyst</v>
      </c>
      <c r="G4" s="85" t="str" cm="1">
        <f t="array" ref="G4:G5">_xlfn.TEXTSPLIT(G3,,"Latent")</f>
        <v xml:space="preserve">Issues: Convincing scientists to invest time upfront in structured data capture remains the main hurdle. Benefits of FAIR are not immediately visible, leading to resistance and inconsistent adoption. Metadata entry is seen as extra work; tools and vocabularies remain fragmented across LIMS, MES, and ELN systems. Legacy data, unclear ownership, and competing standards add friction, while governance enforcement and balancing compliance with usability continue to challenge implementation.
</v>
      </c>
      <c r="I4" s="85" t="str" cm="1">
        <f t="array" ref="I4:I8">_xlfn.TEXTSPLIT(I3,,";")</f>
        <v>F1 provides persistent identifiers that governance experts can mandate to ensure data is consistently referenced across the organization</v>
      </c>
    </row>
    <row r="5" spans="1:24">
      <c r="D5" s="85" t="str">
        <v xml:space="preserve"> Data Governance Lead</v>
      </c>
      <c r="E5" s="97" t="str">
        <v>Data_Owner</v>
      </c>
      <c r="G5" t="str">
        <v xml:space="preserve"> gains: Once FAIR principles are embedded, data becomes findable, traceable, and reusable across research and manufacturing. Efficiency improves through reduced duplication and faster access to validated information. Compliance and audit readiness strengthen through clear provenance and standardization. Harmonized data flows enable interoperability, AI-driven analytics, and sustained knowledge reuse—turning governance from a control mechanism into a catalyst for scientific productivity and long-term data value.</v>
      </c>
      <c r="I5" t="str">
        <v xml:space="preserve"> F2 enriches metadata so governance frameworks can require transparency and completeness</v>
      </c>
    </row>
    <row r="6" spans="1:24">
      <c r="D6" s="85" t="str">
        <v xml:space="preserve"> Information Governance Manager</v>
      </c>
      <c r="E6" s="97" t="str">
        <v>Data_Steward</v>
      </c>
      <c r="I6" t="str">
        <v xml:space="preserve"> A1 guarantees that access protocols are standardized, making governance policies easier to enforce</v>
      </c>
    </row>
    <row r="7" spans="1:24">
      <c r="D7" s="85" t="str">
        <v xml:space="preserve"> Policy Owner</v>
      </c>
      <c r="E7" s="97" t="str">
        <v>Researcher</v>
      </c>
      <c r="I7" t="str">
        <v xml:space="preserve"> I1 ensures interoperability across domains, allowing governance rules to scale enterprise-wide</v>
      </c>
    </row>
    <row r="8" spans="1:24">
      <c r="D8" s="85"/>
      <c r="E8" s="97"/>
      <c r="I8" t="str">
        <v xml:space="preserve"> R1.3 promotes reuse of data aligned with recognized community and industry standards, reinforcing organizational compliance and credibility.</v>
      </c>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Data_Standards_and_Governance_Expert.md</v>
      </c>
    </row>
    <row r="19" spans="1:3" s="94" customFormat="1">
      <c r="A19" s="93" t="s">
        <v>871</v>
      </c>
    </row>
    <row r="21" spans="1:3">
      <c r="A21" t="s">
        <v>872</v>
      </c>
      <c r="B21" t="str">
        <f>B3</f>
        <v>Data_Standards_and_Governance_Expert</v>
      </c>
    </row>
    <row r="22" spans="1:3">
      <c r="A22" t="str">
        <f>CONCATENATE("[",B3,"]","(",B16,B3,")")</f>
        <v>[Data_Standards_and_Governance_Expert](https://pistoiaalliance.github.io/FAIRMaturityMatrix/FAIR_personas/Data_Standards_and_Governance_Expert)</v>
      </c>
    </row>
    <row r="24" spans="1:3">
      <c r="A24" t="s">
        <v>873</v>
      </c>
      <c r="B24" t="s">
        <v>874</v>
      </c>
      <c r="C24" t="str">
        <f>$B$3</f>
        <v>Data_Standards_and_Governance_Expert</v>
      </c>
    </row>
    <row r="25" spans="1:3" ht="45">
      <c r="A25" t="s">
        <v>875</v>
      </c>
      <c r="B25" s="1" t="str">
        <f>CONCATENATE(B24," ",C24)</f>
        <v>Synonyms of  Data_Standards_and_Governance_Expert</v>
      </c>
      <c r="C25" t="s">
        <v>875</v>
      </c>
    </row>
    <row r="26" spans="1:3">
      <c r="A26" t="s">
        <v>875</v>
      </c>
      <c r="B26" t="s">
        <v>876</v>
      </c>
      <c r="C26" t="s">
        <v>875</v>
      </c>
    </row>
    <row r="27" spans="1:3">
      <c r="A27" t="s">
        <v>875</v>
      </c>
      <c r="B27" t="str">
        <f t="shared" ref="B27:B33" si="0">D4</f>
        <v>Policy Maker</v>
      </c>
      <c r="C27" t="s">
        <v>875</v>
      </c>
    </row>
    <row r="28" spans="1:3">
      <c r="A28" t="s">
        <v>875</v>
      </c>
      <c r="B28" t="str">
        <f t="shared" si="0"/>
        <v xml:space="preserve"> Data Governance Lead</v>
      </c>
      <c r="C28" t="s">
        <v>875</v>
      </c>
    </row>
    <row r="29" spans="1:3">
      <c r="A29" t="s">
        <v>875</v>
      </c>
      <c r="B29" t="str">
        <f t="shared" si="0"/>
        <v xml:space="preserve"> Information Governance Manager</v>
      </c>
      <c r="C29" t="s">
        <v>875</v>
      </c>
    </row>
    <row r="30" spans="1:3">
      <c r="A30" t="s">
        <v>875</v>
      </c>
      <c r="B30" t="str">
        <f t="shared" si="0"/>
        <v xml:space="preserve"> Policy Owner</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Data_Standards_and_Governance_Expert</v>
      </c>
    </row>
    <row r="36" spans="1:3">
      <c r="A36" t="str">
        <f>C3</f>
        <v>Acts as a governance advisor and facilitator, ensuring the adoption and compliance of data standards across the organization.
Provides expertise on data standards and governance within a specific business function.
Defines how data is managed, protected, and used across the enterprise by establishing policies, standards, and roles that ensure data is accurate, secure, compliant with regulations, and aligned with business objectives.</v>
      </c>
    </row>
    <row r="39" spans="1:3">
      <c r="A39" s="69" t="s">
        <v>878</v>
      </c>
      <c r="B39" t="s">
        <v>879</v>
      </c>
      <c r="C39" t="str">
        <f>$B$3</f>
        <v>Data_Standards_and_Governance_Expert</v>
      </c>
    </row>
    <row r="40" spans="1:3" ht="60">
      <c r="A40" t="s">
        <v>875</v>
      </c>
      <c r="B40" s="1" t="str">
        <f>CONCATENATE(B39," ",C39)</f>
        <v>FAIR persona related to  Data_Standards_and_Governance_Expert</v>
      </c>
      <c r="C40" t="s">
        <v>875</v>
      </c>
    </row>
    <row r="41" spans="1:3">
      <c r="A41" t="s">
        <v>875</v>
      </c>
      <c r="B41" t="s">
        <v>876</v>
      </c>
      <c r="C41" t="s">
        <v>875</v>
      </c>
    </row>
    <row r="42" spans="1:3" ht="75">
      <c r="A42" t="s">
        <v>875</v>
      </c>
      <c r="B42" s="1" t="str">
        <f>CONCATENATE("[",E4,"]","(",$B$16,E4,")")</f>
        <v>[Business_Analyst](https://pistoiaalliance.github.io/FAIRMaturityMatrix/FAIR_personas/Business_Analyst)</v>
      </c>
      <c r="C42" t="s">
        <v>875</v>
      </c>
    </row>
    <row r="43" spans="1:3">
      <c r="A43" t="s">
        <v>875</v>
      </c>
      <c r="B43" t="str">
        <f t="shared" ref="B43:B49" si="1">CONCATENATE("[",E5,"]","(",$B$16,E5,")")</f>
        <v>[Data_Owner](https://pistoiaalliance.github.io/FAIRMaturityMatrix/FAIR_personas/Data_Owner)</v>
      </c>
      <c r="C43" t="s">
        <v>875</v>
      </c>
    </row>
    <row r="44" spans="1:3">
      <c r="A44" t="s">
        <v>875</v>
      </c>
      <c r="B44" t="str">
        <f t="shared" si="1"/>
        <v>[Data_Steward](https://pistoiaalliance.github.io/FAIRMaturityMatrix/FAIR_personas/Data_Steward)</v>
      </c>
      <c r="C44" t="s">
        <v>875</v>
      </c>
    </row>
    <row r="45" spans="1:3">
      <c r="A45" t="s">
        <v>875</v>
      </c>
      <c r="B45" t="str">
        <f t="shared" si="1"/>
        <v>[Researcher](https://pistoiaalliance.github.io/FAIRMaturityMatrix/FAIR_personas/Researcher)</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Data_Standards_and_Governance_Expert</v>
      </c>
    </row>
    <row r="52" spans="1:3">
      <c r="A52" t="str">
        <f>F3</f>
        <v>ensures consistent, compliant, and interoperable data practices across research and manufacturing. Working with scientists and technical teams, the expert defines and maintains controlled vocabularies and standardized term lists for Laboratory Information Management Systems (LIMS) and Manufacturing Execution Systems (MES), ensuring methods, processes, and data are recorded in FAIR-compliant formats before integration into central databases.
In production contexts such as tablet manufacturing, the expert applies the ISA-88 (S88) standard to structure and harmonize process data. The role defines and enforces policies for data quality, security, privacy, and usage; assigns ownership and stewardship responsibilities; and ensures compliance with internal standards and external regulations.
The expert maintains visibility of data provenance and lineage to ensure traceability and trust, promotes adoption of governance frameworks across business and technical functions, and monitors the effectiveness of data standards to support reliable, reusable, and regulatory-ready information.</v>
      </c>
    </row>
    <row r="55" spans="1:3">
      <c r="A55" t="s">
        <v>881</v>
      </c>
      <c r="B55" s="69" t="s">
        <v>882</v>
      </c>
      <c r="C55" t="str">
        <f>$B$3</f>
        <v>Data_Standards_and_Governance_Expert</v>
      </c>
    </row>
    <row r="56" spans="1:3">
      <c r="A56" t="s">
        <v>883</v>
      </c>
      <c r="B56" t="s">
        <v>884</v>
      </c>
      <c r="C56" t="str">
        <f>$B$3</f>
        <v>Data_Standards_and_Governance_Expert</v>
      </c>
    </row>
    <row r="57" spans="1:3">
      <c r="A57" t="str">
        <f>G4</f>
        <v xml:space="preserve">Issues: Convincing scientists to invest time upfront in structured data capture remains the main hurdle. Benefits of FAIR are not immediately visible, leading to resistance and inconsistent adoption. Metadata entry is seen as extra work; tools and vocabularies remain fragmented across LIMS, MES, and ELN systems. Legacy data, unclear ownership, and competing standards add friction, while governance enforcement and balancing compliance with usability continue to challenge implementation.
</v>
      </c>
    </row>
    <row r="58" spans="1:3">
      <c r="A58" t="s">
        <v>883</v>
      </c>
      <c r="B58" t="s">
        <v>885</v>
      </c>
      <c r="C58" t="str">
        <f>$B$3</f>
        <v>Data_Standards_and_Governance_Expert</v>
      </c>
    </row>
    <row r="59" spans="1:3">
      <c r="A59" t="str">
        <f>CONCATENATE("Latent ",G5)</f>
        <v>Latent  gains: Once FAIR principles are embedded, data becomes findable, traceable, and reusable across research and manufacturing. Efficiency improves through reduced duplication and faster access to validated information. Compliance and audit readiness strengthen through clear provenance and standardization. Harmonized data flows enable interoperability, AI-driven analytics, and sustained knowledge reuse—turning governance from a control mechanism into a catalyst for scientific productivity and long-term data value.</v>
      </c>
    </row>
    <row r="62" spans="1:3">
      <c r="A62" t="s">
        <v>873</v>
      </c>
      <c r="B62" s="69" t="s">
        <v>886</v>
      </c>
      <c r="C62" t="str">
        <f>$B$3</f>
        <v>Data_Standards_and_Governance_Expert</v>
      </c>
    </row>
    <row r="63" spans="1:3">
      <c r="A63" s="69" t="str">
        <f>H3</f>
        <v xml:space="preserve"> FAIR principles transforms data governance from a compliance obligation into a strategic enabler of efficiency, quality, and trust. FAIR ensures that data is findable and discoverable across systems, reducing duplication and enabling reuse of validated information. Accessibility allows authorized users to retrieve data seamlessly within compliant frameworks, while interoperability enables consistent data exchange across instruments, laboratories, and business units without loss of meaning—directly supporting harmonization of LIMS, MES, and enterprise data models. Reusability extends the value of high-quality, well-documented data, improving reproducibility, regulatory readiness, and analytics potential. For this expert, FAIR provides a concrete framework to drive standardization, traceability, and continuous improvement, turning governance into a catalyst for innovation and long-term organizational learning.</v>
      </c>
    </row>
    <row r="64" spans="1:3">
      <c r="B64" s="69"/>
    </row>
    <row r="65" spans="1:2">
      <c r="A65" t="s">
        <v>883</v>
      </c>
      <c r="B65" t="str">
        <f>LEFT(A66,3)</f>
        <v xml:space="preserve">F1 </v>
      </c>
    </row>
    <row r="66" spans="1:2">
      <c r="A66" t="str">
        <f>I4</f>
        <v>F1 provides persistent identifiers that governance experts can mandate to ensure data is consistently referenced across the organization</v>
      </c>
    </row>
    <row r="67" spans="1:2">
      <c r="A67" t="s">
        <v>883</v>
      </c>
      <c r="B67" t="str">
        <f>LEFT(A68,3)</f>
        <v xml:space="preserve"> F2</v>
      </c>
    </row>
    <row r="68" spans="1:2">
      <c r="A68" t="str">
        <f>I5</f>
        <v xml:space="preserve"> F2 enriches metadata so governance frameworks can require transparency and completeness</v>
      </c>
    </row>
    <row r="69" spans="1:2">
      <c r="A69" t="s">
        <v>883</v>
      </c>
      <c r="B69" t="str">
        <f>LEFT(A70,3)</f>
        <v xml:space="preserve"> A1</v>
      </c>
    </row>
    <row r="70" spans="1:2">
      <c r="A70" t="str">
        <f>I6</f>
        <v xml:space="preserve"> A1 guarantees that access protocols are standardized, making governance policies easier to enforce</v>
      </c>
    </row>
    <row r="71" spans="1:2">
      <c r="A71" t="s">
        <v>883</v>
      </c>
      <c r="B71" t="str">
        <f>LEFT(A72,3)</f>
        <v xml:space="preserve"> I1</v>
      </c>
    </row>
    <row r="72" spans="1:2">
      <c r="A72" t="str">
        <f>I7</f>
        <v xml:space="preserve"> I1 ensures interoperability across domains, allowing governance rules to scale enterprise-wide</v>
      </c>
    </row>
    <row r="73" spans="1:2">
      <c r="A73" t="s">
        <v>883</v>
      </c>
      <c r="B73" t="str">
        <f>LEFT(A74,3)</f>
        <v xml:space="preserve"> R1</v>
      </c>
    </row>
    <row r="74" spans="1:2">
      <c r="A74" t="str">
        <f>I8</f>
        <v xml:space="preserve"> R1.3 promotes reuse of data aligned with recognized community and industry standards, reinforcing organizational compliance and credibility.</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AFEB7E55-892A-4406-B7EF-28BB99C9655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59232E9-B67F-496A-8C80-0E685B7E7F70}">
          <x14:formula1>
            <xm:f>'2025-Personas-FAIR-cleaned'!$B$3:$B$40</xm:f>
          </x14:formula1>
          <xm:sqref>B3 E5:E12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11FD-F156-4CCB-989C-F9BCC000AE49}">
  <dimension ref="A1:X90"/>
  <sheetViews>
    <sheetView workbookViewId="0">
      <selection activeCell="A21" sqref="A21"/>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887</v>
      </c>
      <c r="B3" s="108" t="s">
        <v>183</v>
      </c>
      <c r="C3" s="99" t="str">
        <f>_xlfn.XLOOKUP($B3,'2025-Personas-FAIR-cleaned'!$B$3:$B$40,'2025-Personas-FAIR-cleaned'!$D$3:$D$40)</f>
        <v>The Business Owner is an executive-level business role accountable for the value, performance, and strategic success of a defined business process, product, system, or dataset. As the designated authority within their domain, the Business Owner ensures that data and processes deliver measurable business value, meet defined KPIs, and align with organizational objectives and regulatory requirements.
In accordance with DAMA-DMBOK2, the Business Owner is responsible for defining business requirements, approving data standards and policies, and ensuring that data is managed as a strategic enterprise asset. They collaborate with Data Stewards, Architects, and IT teams to translate business needs into data capabilities, oversee the quality and fitness-for-purpose of data, and drive continuous improvement.
By championing sound data governance and FAIR-aligned practices, the Business Owner ensures that information assets are consistent, compliant, and reusable—enabling efficient decision-making, regulatory confidence, and sustained business value generation across the organization.</v>
      </c>
      <c r="D3" s="99" t="str">
        <f>_xlfn.XLOOKUP($B3,'2025-Personas-FAIR-cleaned'!$B$3:$B$40,'2025-Personas-FAIR-cleaned'!$G$3:$G$40)</f>
        <v xml:space="preserve">Business Data Owner; Data Asset Owner; Business Executive &amp; Manager; Executive Sponsor;  </v>
      </c>
      <c r="E3" s="100" t="str">
        <f>_xlfn.XLOOKUP($B3,'2025-Personas-FAIR-cleaned'!$B$3:$B$40,'2025-Personas-FAIR-cleaned'!$H$3:$H$40)</f>
        <v>FAIR_Data_Architect,Business_Analyst,Data_Analyst,Business_Leader,Data_Owner,Data_Standards_and_Governance_Expert,Subject_Matter_Expert,Project_Manager</v>
      </c>
      <c r="F3" s="99" t="str">
        <f>_xlfn.XLOOKUP($B3,'2025-Personas-FAIR-cleaned'!$B$3:$B$40,'2025-Personas-FAIR-cleaned'!$K$3:$K$40)</f>
        <v>The Business Owner performs a set of core tasks that ensure data, processes, and systems within their domain deliver measurable business value and align with corporate and regulatory expectations. Their tasks include defining business requirements and objectives for data and digital initiatives, ensuring they support strategic priorities. They evaluate and track business value and KPIs, measuring the performance and success of data-driven processes and products. The Business Owner also approves and enforces data policies, standards, and quality rules, guaranteeing that information is accurate, complete, and business-ready. They collaborate with Data Stewards, Data Architects, and IT teams to translate business needs into practical governance and data management solutions. Additionally, they prioritize and sponsor data initiatives, allocate resources, and resolve cross-functional challenges related to data ownership, access, and quality—driving continuous improvement and ensuring that data assets contribute directly to organizational goals.</v>
      </c>
      <c r="G3" s="99" t="str">
        <f>_xlfn.XLOOKUP($B3,'2025-Personas-FAIR-cleaned'!$B$3:$B$40,'2025-Personas-FAIR-cleaned'!$O$3:$O$40)</f>
        <v>Issues: Business Owners often face unclear accountability for data assets, leading to neglected stewardship and missed opportunities. Data is frequently treated as a by-product rather than a strategic asset, limiting its contribution to business value. Inconsistent metadata, poor provenance, and fragmented data quality management erode trust and make data unreliable for decision-making. Access policies are uneven and siloed, hindering operational agility, while weak interoperability and duplicate datasets prevent cross-domain insight generation. Additionally, limited literacy in FAIR principles and data governance frameworks leaves Business Owners unable to interpret metrics or demonstrate value. As a result, compliance efforts become reactive cost centers, and FAIR maturity remains disconnected from measurable business outcomes. Paradoxically, even FAIR initiatives aimed to improve the sitation  may be driven by IT or compliance functions without alignment to core business goals or KPIs, creating the perception of limited ROI. 
Latent Gains: Implementing FAIR principles establishes clear business data ownership and embeds stewardship as a core governance function. Data becomes an enterprise asset: traceable, high-quality, and aligned with business objectives. Standardized metadata, access protocols, and interoperable systems ensure consistency, trust, and agility across departments. FAIR maturity strengthens regulatory compliance, turning oversight into strategic advantage through transparent provenance and auditability. Empowered by reliable, well-documented data, Business Owners can link FAIR investments directly to performance indicators such as reduced time-to-insight, faster innovation cycles, and lower operational risk. With improved data literacy and measurable ROI, FAIR transforms data management from a technical exercise into a business enabler, driving sustained efficiency, compliance, and value creation across the organization.</v>
      </c>
      <c r="H3" s="99" t="str">
        <f>_xlfn.XLOOKUP($B3,'2025-Personas-FAIR-cleaned'!$B$3:$B$40,'2025-Personas-FAIR-cleaned'!$M$3:$M$40)</f>
        <v>For a Business Owner, adopting FAIR data principles delivers both strategic and operational value by turning data into a reliable, reusable business asset. Findable and Accessible data accelerate evidence-based decision-making and reduce time spent locating or validating information, improving responsiveness and time-to-market. Enhanced metadata and provenance increase trust, data quality, and regulatory compliance while reducing audit risk and operational errors. Interoperable data promote collaboration and cross-functional reporting, supporting integration during organizational changes or mergers. Through reusability, FAIR minimizes data duplication, lowers operational costs, and improves ROI on data investments. By making data machine-actionable, FAIR enables automation, AI, and innovation, enhancing forecasting, modeling, and digital transformation. Finally, improved traceability and lifecycle stewardship reinforce transparency, governance, and enterprise resilience. Together, these capabilities empower the Business Owner to maximize business value, ensure compliance, and drive sustainable growth.</v>
      </c>
      <c r="I3" s="99" t="str">
        <f>_xlfn.XLOOKUP($B3,'2025-Personas-FAIR-cleaned'!$B$3:$B$40,'2025-Personas-FAIR-cleaned'!$P$3:$P$40)</f>
        <v>F1 provides persistent identifiers that ensure KPIs and metrics are based on unambiguous, trusted datasets; A1 guarantees reliable access to the data needed for monitoring performance and driving improvements; R1.1 ensures reproducibility of results so business decisions can be defended and audited; R1.2 clarifies licensing and reuse conditions, enabling safe and efficient exploitation of data assets for innovation and partnerships.</v>
      </c>
      <c r="J3" s="1"/>
      <c r="K3" s="1"/>
      <c r="L3" s="1"/>
      <c r="M3" s="1"/>
      <c r="N3" s="1"/>
      <c r="O3" s="1"/>
      <c r="P3" s="1"/>
      <c r="Q3" s="1"/>
      <c r="R3" s="1"/>
      <c r="S3" s="1"/>
      <c r="T3" s="1"/>
      <c r="U3" s="1"/>
      <c r="V3" s="1"/>
      <c r="W3" s="1"/>
      <c r="X3" s="1"/>
    </row>
    <row r="4" spans="1:24">
      <c r="D4" s="85" t="str" cm="1">
        <f t="array" ref="D4:D8">_xlfn.TEXTSPLIT(D3,,";")</f>
        <v>Business Data Owner</v>
      </c>
      <c r="E4" s="85" t="str" cm="1">
        <f t="array" ref="E4:E11">_xlfn.TEXTSPLIT(E3,,",")</f>
        <v>FAIR_Data_Architect</v>
      </c>
      <c r="G4" s="85" t="str" cm="1">
        <f t="array" ref="G4:G5">_xlfn.TEXTSPLIT(G3,,"Latent")</f>
        <v xml:space="preserve">Issues: Business Owners often face unclear accountability for data assets, leading to neglected stewardship and missed opportunities. Data is frequently treated as a by-product rather than a strategic asset, limiting its contribution to business value. Inconsistent metadata, poor provenance, and fragmented data quality management erode trust and make data unreliable for decision-making. Access policies are uneven and siloed, hindering operational agility, while weak interoperability and duplicate datasets prevent cross-domain insight generation. Additionally, limited literacy in FAIR principles and data governance frameworks leaves Business Owners unable to interpret metrics or demonstrate value. As a result, compliance efforts become reactive cost centers, and FAIR maturity remains disconnected from measurable business outcomes. Paradoxically, even FAIR initiatives aimed to improve the sitation  may be driven by IT or compliance functions without alignment to core business goals or KPIs, creating the perception of limited ROI. 
</v>
      </c>
      <c r="I4" s="85" t="str" cm="1">
        <f t="array" ref="I4:I7">_xlfn.TEXTSPLIT(I3,,";")</f>
        <v>F1 provides persistent identifiers that ensure KPIs and metrics are based on unambiguous, trusted datasets</v>
      </c>
    </row>
    <row r="5" spans="1:24">
      <c r="D5" s="85" t="str">
        <v xml:space="preserve"> Data Asset Owner</v>
      </c>
      <c r="E5" s="97" t="str">
        <v>Business_Analyst</v>
      </c>
      <c r="G5" t="str">
        <v xml:space="preserve"> Gains: Implementing FAIR principles establishes clear business data ownership and embeds stewardship as a core governance function. Data becomes an enterprise asset: traceable, high-quality, and aligned with business objectives. Standardized metadata, access protocols, and interoperable systems ensure consistency, trust, and agility across departments. FAIR maturity strengthens regulatory compliance, turning oversight into strategic advantage through transparent provenance and auditability. Empowered by reliable, well-documented data, Business Owners can link FAIR investments directly to performance indicators such as reduced time-to-insight, faster innovation cycles, and lower operational risk. With improved data literacy and measurable ROI, FAIR transforms data management from a technical exercise into a business enabler, driving sustained efficiency, compliance, and value creation across the organization.</v>
      </c>
      <c r="I5" t="str">
        <v xml:space="preserve"> A1 guarantees reliable access to the data needed for monitoring performance and driving improvements</v>
      </c>
    </row>
    <row r="6" spans="1:24">
      <c r="D6" s="85" t="str">
        <v xml:space="preserve"> Business Executive &amp; Manager</v>
      </c>
      <c r="E6" s="97" t="str">
        <v>Data_Analyst</v>
      </c>
      <c r="I6" t="str">
        <v xml:space="preserve"> R1.1 ensures reproducibility of results so business decisions can be defended and audited</v>
      </c>
    </row>
    <row r="7" spans="1:24">
      <c r="D7" s="85" t="str">
        <v xml:space="preserve"> Executive Sponsor</v>
      </c>
      <c r="E7" s="97" t="str">
        <v>Business_Leader</v>
      </c>
      <c r="I7" t="str">
        <v xml:space="preserve"> R1.2 clarifies licensing and reuse conditions, enabling safe and efficient exploitation of data assets for innovation and partnerships.</v>
      </c>
    </row>
    <row r="8" spans="1:24">
      <c r="D8" s="85" t="str">
        <v xml:space="preserve">  </v>
      </c>
      <c r="E8" s="97" t="str">
        <v>Data_Owner</v>
      </c>
    </row>
    <row r="9" spans="1:24">
      <c r="D9" s="85"/>
      <c r="E9" s="97" t="str">
        <v>Data_Standards_and_Governance_Expert</v>
      </c>
    </row>
    <row r="10" spans="1:24">
      <c r="D10" s="85"/>
      <c r="E10" s="97" t="str">
        <v>Subject_Matter_Expert</v>
      </c>
    </row>
    <row r="11" spans="1:24">
      <c r="E11" s="97" t="str">
        <v>Project_Manager</v>
      </c>
    </row>
    <row r="12" spans="1:24">
      <c r="E12" s="97"/>
    </row>
    <row r="16" spans="1:24">
      <c r="A16" s="4" t="s">
        <v>868</v>
      </c>
      <c r="B16" s="56" t="s">
        <v>869</v>
      </c>
    </row>
    <row r="17" spans="1:3">
      <c r="A17" s="4" t="s">
        <v>870</v>
      </c>
      <c r="B17" t="str">
        <f>CONCATENATE(B3,".md")</f>
        <v>Business_Owner.md</v>
      </c>
    </row>
    <row r="19" spans="1:3" s="94" customFormat="1">
      <c r="A19" s="93" t="s">
        <v>871</v>
      </c>
    </row>
    <row r="21" spans="1:3">
      <c r="A21" t="s">
        <v>872</v>
      </c>
      <c r="B21" t="str">
        <f>B3</f>
        <v>Business_Owner</v>
      </c>
    </row>
    <row r="22" spans="1:3">
      <c r="A22" t="str">
        <f>CONCATENATE("[",B3,"]","(",B16,B3,")")</f>
        <v>[Business_Owner](https://pistoiaalliance.github.io/FAIRMaturityMatrix/FAIR_personas/Business_Owner)</v>
      </c>
    </row>
    <row r="24" spans="1:3">
      <c r="A24" t="s">
        <v>873</v>
      </c>
      <c r="B24" t="s">
        <v>874</v>
      </c>
      <c r="C24" t="str">
        <f>$B$3</f>
        <v>Business_Owner</v>
      </c>
    </row>
    <row r="25" spans="1:3" ht="30">
      <c r="A25" t="s">
        <v>875</v>
      </c>
      <c r="B25" s="1" t="str">
        <f>CONCATENATE(B24," ",C24)</f>
        <v>Synonyms of  Business_Owner</v>
      </c>
      <c r="C25" t="s">
        <v>875</v>
      </c>
    </row>
    <row r="26" spans="1:3">
      <c r="A26" t="s">
        <v>875</v>
      </c>
      <c r="B26" t="s">
        <v>876</v>
      </c>
      <c r="C26" t="s">
        <v>875</v>
      </c>
    </row>
    <row r="27" spans="1:3">
      <c r="A27" t="s">
        <v>875</v>
      </c>
      <c r="B27" t="str">
        <f t="shared" ref="B27:B33" si="0">D4</f>
        <v>Business Data Owner</v>
      </c>
      <c r="C27" t="s">
        <v>875</v>
      </c>
    </row>
    <row r="28" spans="1:3">
      <c r="A28" t="s">
        <v>875</v>
      </c>
      <c r="B28" t="str">
        <f t="shared" si="0"/>
        <v xml:space="preserve"> Data Asset Owner</v>
      </c>
      <c r="C28" t="s">
        <v>875</v>
      </c>
    </row>
    <row r="29" spans="1:3">
      <c r="A29" t="s">
        <v>875</v>
      </c>
      <c r="B29" t="str">
        <f t="shared" si="0"/>
        <v xml:space="preserve"> Business Executive &amp; Manager</v>
      </c>
      <c r="C29" t="s">
        <v>875</v>
      </c>
    </row>
    <row r="30" spans="1:3">
      <c r="A30" t="s">
        <v>875</v>
      </c>
      <c r="B30" t="str">
        <f t="shared" si="0"/>
        <v xml:space="preserve"> Executive Sponsor</v>
      </c>
      <c r="C30" t="s">
        <v>875</v>
      </c>
    </row>
    <row r="31" spans="1:3">
      <c r="A31" t="s">
        <v>875</v>
      </c>
      <c r="B31" t="str">
        <f t="shared" si="0"/>
        <v xml:space="preserve">  </v>
      </c>
      <c r="C31" t="s">
        <v>875</v>
      </c>
    </row>
    <row r="32" spans="1:3">
      <c r="A32" t="s">
        <v>875</v>
      </c>
      <c r="B32">
        <f t="shared" si="0"/>
        <v>0</v>
      </c>
      <c r="C32" t="s">
        <v>875</v>
      </c>
    </row>
    <row r="33" spans="1:3">
      <c r="A33" t="s">
        <v>875</v>
      </c>
      <c r="B33">
        <f t="shared" si="0"/>
        <v>0</v>
      </c>
      <c r="C33" t="s">
        <v>875</v>
      </c>
    </row>
    <row r="35" spans="1:3">
      <c r="A35" t="s">
        <v>873</v>
      </c>
      <c r="B35" t="s">
        <v>877</v>
      </c>
      <c r="C35" t="str">
        <f>$B$3</f>
        <v>Business_Owner</v>
      </c>
    </row>
    <row r="36" spans="1:3">
      <c r="A36" t="str">
        <f>C3</f>
        <v>The Business Owner is an executive-level business role accountable for the value, performance, and strategic success of a defined business process, product, system, or dataset. As the designated authority within their domain, the Business Owner ensures that data and processes deliver measurable business value, meet defined KPIs, and align with organizational objectives and regulatory requirements.
In accordance with DAMA-DMBOK2, the Business Owner is responsible for defining business requirements, approving data standards and policies, and ensuring that data is managed as a strategic enterprise asset. They collaborate with Data Stewards, Architects, and IT teams to translate business needs into data capabilities, oversee the quality and fitness-for-purpose of data, and drive continuous improvement.
By championing sound data governance and FAIR-aligned practices, the Business Owner ensures that information assets are consistent, compliant, and reusable—enabling efficient decision-making, regulatory confidence, and sustained business value generation across the organization.</v>
      </c>
    </row>
    <row r="39" spans="1:3">
      <c r="A39" s="69" t="s">
        <v>878</v>
      </c>
      <c r="B39" t="s">
        <v>879</v>
      </c>
      <c r="C39" t="str">
        <f>$B$3</f>
        <v>Business_Owner</v>
      </c>
    </row>
    <row r="40" spans="1:3" ht="30">
      <c r="A40" t="s">
        <v>875</v>
      </c>
      <c r="B40" s="1" t="str">
        <f>CONCATENATE(B39," ",C39)</f>
        <v>FAIR persona related to  Business_Owner</v>
      </c>
      <c r="C40" t="s">
        <v>875</v>
      </c>
    </row>
    <row r="41" spans="1:3">
      <c r="A41" t="s">
        <v>875</v>
      </c>
      <c r="B41" t="s">
        <v>876</v>
      </c>
      <c r="C41" t="s">
        <v>875</v>
      </c>
    </row>
    <row r="42" spans="1:3" ht="90">
      <c r="A42" t="s">
        <v>875</v>
      </c>
      <c r="B42" s="1" t="str">
        <f>CONCATENATE("[",E4,"]","(",$B$16,E4,")")</f>
        <v>[FAIR_Data_Architect](https://pistoiaalliance.github.io/FAIRMaturityMatrix/FAIR_personas/FAIR_Data_Architect)</v>
      </c>
      <c r="C42" t="s">
        <v>875</v>
      </c>
    </row>
    <row r="43" spans="1:3">
      <c r="A43" t="s">
        <v>875</v>
      </c>
      <c r="B43" t="str">
        <f t="shared" ref="B43:B49" si="1">CONCATENATE("[",E5,"]","(",$B$16,E5,")")</f>
        <v>[Business_Analyst](https://pistoiaalliance.github.io/FAIRMaturityMatrix/FAIR_personas/Business_Analyst)</v>
      </c>
      <c r="C43" t="s">
        <v>875</v>
      </c>
    </row>
    <row r="44" spans="1:3">
      <c r="A44" t="s">
        <v>875</v>
      </c>
      <c r="B44" t="str">
        <f t="shared" si="1"/>
        <v>[Data_Analyst](https://pistoiaalliance.github.io/FAIRMaturityMatrix/FAIR_personas/Data_Analyst)</v>
      </c>
      <c r="C44" t="s">
        <v>875</v>
      </c>
    </row>
    <row r="45" spans="1:3">
      <c r="A45" t="s">
        <v>875</v>
      </c>
      <c r="B45" t="str">
        <f t="shared" si="1"/>
        <v>[Business_Leader](https://pistoiaalliance.github.io/FAIRMaturityMatrix/FAIR_personas/Business_Leader)</v>
      </c>
      <c r="C45" t="s">
        <v>875</v>
      </c>
    </row>
    <row r="46" spans="1:3">
      <c r="A46" t="s">
        <v>875</v>
      </c>
      <c r="B46" t="str">
        <f t="shared" si="1"/>
        <v>[Data_Owner](https://pistoiaalliance.github.io/FAIRMaturityMatrix/FAIR_personas/Data_Owner)</v>
      </c>
      <c r="C46" t="s">
        <v>875</v>
      </c>
    </row>
    <row r="47" spans="1:3">
      <c r="A47" t="s">
        <v>875</v>
      </c>
      <c r="B47" t="str">
        <f t="shared" si="1"/>
        <v>[Data_Standards_and_Governance_Expert](https://pistoiaalliance.github.io/FAIRMaturityMatrix/FAIR_personas/Data_Standards_and_Governance_Expert)</v>
      </c>
      <c r="C47" t="s">
        <v>875</v>
      </c>
    </row>
    <row r="48" spans="1:3">
      <c r="A48" t="s">
        <v>875</v>
      </c>
      <c r="B48" t="str">
        <f t="shared" si="1"/>
        <v>[Subject_Matter_Expert](https://pistoiaalliance.github.io/FAIRMaturityMatrix/FAIR_personas/Subject_Matter_Expert)</v>
      </c>
      <c r="C48" t="s">
        <v>875</v>
      </c>
    </row>
    <row r="49" spans="1:3">
      <c r="A49" t="s">
        <v>875</v>
      </c>
      <c r="B49" t="str">
        <f t="shared" si="1"/>
        <v>[Project_Manager](https://pistoiaalliance.github.io/FAIRMaturityMatrix/FAIR_personas/Project_Manager)</v>
      </c>
      <c r="C49" t="s">
        <v>875</v>
      </c>
    </row>
    <row r="51" spans="1:3">
      <c r="A51" s="69" t="s">
        <v>878</v>
      </c>
      <c r="B51" t="s">
        <v>880</v>
      </c>
      <c r="C51" t="str">
        <f>$B$3</f>
        <v>Business_Owner</v>
      </c>
    </row>
    <row r="52" spans="1:3">
      <c r="A52" t="str">
        <f>F3</f>
        <v>The Business Owner performs a set of core tasks that ensure data, processes, and systems within their domain deliver measurable business value and align with corporate and regulatory expectations. Their tasks include defining business requirements and objectives for data and digital initiatives, ensuring they support strategic priorities. They evaluate and track business value and KPIs, measuring the performance and success of data-driven processes and products. The Business Owner also approves and enforces data policies, standards, and quality rules, guaranteeing that information is accurate, complete, and business-ready. They collaborate with Data Stewards, Data Architects, and IT teams to translate business needs into practical governance and data management solutions. Additionally, they prioritize and sponsor data initiatives, allocate resources, and resolve cross-functional challenges related to data ownership, access, and quality—driving continuous improvement and ensuring that data assets contribute directly to organizational goals.</v>
      </c>
    </row>
    <row r="55" spans="1:3">
      <c r="A55" t="s">
        <v>881</v>
      </c>
      <c r="B55" s="69" t="s">
        <v>882</v>
      </c>
      <c r="C55" t="str">
        <f>$B$3</f>
        <v>Business_Owner</v>
      </c>
    </row>
    <row r="56" spans="1:3">
      <c r="A56" t="s">
        <v>883</v>
      </c>
      <c r="B56" t="s">
        <v>884</v>
      </c>
      <c r="C56" t="str">
        <f>$B$3</f>
        <v>Business_Owner</v>
      </c>
    </row>
    <row r="57" spans="1:3">
      <c r="A57" t="str">
        <f>G4</f>
        <v xml:space="preserve">Issues: Business Owners often face unclear accountability for data assets, leading to neglected stewardship and missed opportunities. Data is frequently treated as a by-product rather than a strategic asset, limiting its contribution to business value. Inconsistent metadata, poor provenance, and fragmented data quality management erode trust and make data unreliable for decision-making. Access policies are uneven and siloed, hindering operational agility, while weak interoperability and duplicate datasets prevent cross-domain insight generation. Additionally, limited literacy in FAIR principles and data governance frameworks leaves Business Owners unable to interpret metrics or demonstrate value. As a result, compliance efforts become reactive cost centers, and FAIR maturity remains disconnected from measurable business outcomes. Paradoxically, even FAIR initiatives aimed to improve the sitation  may be driven by IT or compliance functions without alignment to core business goals or KPIs, creating the perception of limited ROI. 
</v>
      </c>
    </row>
    <row r="58" spans="1:3">
      <c r="A58" t="s">
        <v>883</v>
      </c>
      <c r="B58" t="s">
        <v>885</v>
      </c>
      <c r="C58" t="str">
        <f>$B$3</f>
        <v>Business_Owner</v>
      </c>
    </row>
    <row r="59" spans="1:3">
      <c r="A59" t="str">
        <f>CONCATENATE("Latent ",G5)</f>
        <v>Latent  Gains: Implementing FAIR principles establishes clear business data ownership and embeds stewardship as a core governance function. Data becomes an enterprise asset: traceable, high-quality, and aligned with business objectives. Standardized metadata, access protocols, and interoperable systems ensure consistency, trust, and agility across departments. FAIR maturity strengthens regulatory compliance, turning oversight into strategic advantage through transparent provenance and auditability. Empowered by reliable, well-documented data, Business Owners can link FAIR investments directly to performance indicators such as reduced time-to-insight, faster innovation cycles, and lower operational risk. With improved data literacy and measurable ROI, FAIR transforms data management from a technical exercise into a business enabler, driving sustained efficiency, compliance, and value creation across the organization.</v>
      </c>
    </row>
    <row r="62" spans="1:3">
      <c r="A62" t="s">
        <v>873</v>
      </c>
      <c r="B62" s="69" t="s">
        <v>886</v>
      </c>
      <c r="C62" t="str">
        <f>$B$3</f>
        <v>Business_Owner</v>
      </c>
    </row>
    <row r="63" spans="1:3">
      <c r="A63" s="69" t="str">
        <f>H3</f>
        <v>For a Business Owner, adopting FAIR data principles delivers both strategic and operational value by turning data into a reliable, reusable business asset. Findable and Accessible data accelerate evidence-based decision-making and reduce time spent locating or validating information, improving responsiveness and time-to-market. Enhanced metadata and provenance increase trust, data quality, and regulatory compliance while reducing audit risk and operational errors. Interoperable data promote collaboration and cross-functional reporting, supporting integration during organizational changes or mergers. Through reusability, FAIR minimizes data duplication, lowers operational costs, and improves ROI on data investments. By making data machine-actionable, FAIR enables automation, AI, and innovation, enhancing forecasting, modeling, and digital transformation. Finally, improved traceability and lifecycle stewardship reinforce transparency, governance, and enterprise resilience. Together, these capabilities empower the Business Owner to maximize business value, ensure compliance, and drive sustainable growth.</v>
      </c>
    </row>
    <row r="64" spans="1:3">
      <c r="B64" s="69"/>
    </row>
    <row r="65" spans="1:2">
      <c r="A65" t="s">
        <v>883</v>
      </c>
      <c r="B65" t="str">
        <f>LEFT(A66,3)</f>
        <v xml:space="preserve">F1 </v>
      </c>
    </row>
    <row r="66" spans="1:2">
      <c r="A66" t="str">
        <f>I4</f>
        <v>F1 provides persistent identifiers that ensure KPIs and metrics are based on unambiguous, trusted datasets</v>
      </c>
    </row>
    <row r="67" spans="1:2">
      <c r="A67" t="s">
        <v>883</v>
      </c>
      <c r="B67" t="str">
        <f>LEFT(A68,3)</f>
        <v xml:space="preserve"> A1</v>
      </c>
    </row>
    <row r="68" spans="1:2">
      <c r="A68" t="str">
        <f>I5</f>
        <v xml:space="preserve"> A1 guarantees reliable access to the data needed for monitoring performance and driving improvements</v>
      </c>
    </row>
    <row r="69" spans="1:2">
      <c r="A69" t="s">
        <v>883</v>
      </c>
      <c r="B69" t="str">
        <f>LEFT(A70,3)</f>
        <v xml:space="preserve"> R1</v>
      </c>
    </row>
    <row r="70" spans="1:2">
      <c r="A70" t="str">
        <f>I6</f>
        <v xml:space="preserve"> R1.1 ensures reproducibility of results so business decisions can be defended and audited</v>
      </c>
    </row>
    <row r="71" spans="1:2">
      <c r="A71" t="s">
        <v>883</v>
      </c>
      <c r="B71" t="str">
        <f>LEFT(A72,3)</f>
        <v xml:space="preserve"> R1</v>
      </c>
    </row>
    <row r="72" spans="1:2">
      <c r="A72" t="str">
        <f>I7</f>
        <v xml:space="preserve"> R1.2 clarifies licensing and reuse conditions, enabling safe and efficient exploitation of data assets for innovation and partnerships.</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B5429F53-5B59-437D-878E-7CC91BC2D9FC}"/>
    <hyperlink ref="A3:B3" r:id="rId2" display="https://github.com/PistoiaAlliance/FAIRMaturityMatrix/edit/FAIR-MM-V1.2/FAIR_personas/Business_Owner.md" xr:uid="{835A6C0C-09F1-4439-AE05-BC0560E53E0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CB28FC-71E0-4766-9502-F833A4FE27DC}">
          <x14:formula1>
            <xm:f>'2025-Personas-FAIR-cleaned'!$B$3:$B$40</xm:f>
          </x14:formula1>
          <xm:sqref>B3 E5:E12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D9FE-7D81-404F-9E67-55A5EBA9A219}">
  <dimension ref="A1:X90"/>
  <sheetViews>
    <sheetView workbookViewId="0">
      <selection activeCell="B8" sqref="B8"/>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532</v>
      </c>
      <c r="B3" s="98" t="s">
        <v>533</v>
      </c>
      <c r="C3" s="99" t="str">
        <f>_xlfn.XLOOKUP($B3,'2025-Personas-FAIR-cleaned'!$B$3:$B$40,'2025-Personas-FAIR-cleaned'!$D$3:$D$40)</f>
        <v>Provides legal and regulatory expertise to ensure data is managed, shared, and reused in compliance with privacy, consent, and intellectual property requirements, while supporting FAIR-aligned practices across the organization.Has expertise in privacy law, data governance, and intellectual property; ability to draft and interpret data sharing agreements; experience in regulatory compliance and ethical data use in research and business contexts.</v>
      </c>
      <c r="D3" s="99" t="str">
        <f>_xlfn.XLOOKUP($B3,'2025-Personas-FAIR-cleaned'!$B$3:$B$40,'2025-Personas-FAIR-cleaned'!$G$3:$G$40)</f>
        <v>Compliance Officer; Data Protection Specialist; Regulatory Counsel; Risk Management Expert</v>
      </c>
      <c r="E3" s="100" t="str">
        <f>_xlfn.XLOOKUP($B3,'2025-Personas-FAIR-cleaned'!$B$3:$B$40,'2025-Personas-FAIR-cleaned'!$H$3:$H$40)</f>
        <v>Business_Leader,Data_Owner,Data_Steward</v>
      </c>
      <c r="F3" s="99" t="str">
        <f>_xlfn.XLOOKUP($B3,'2025-Personas-FAIR-cleaned'!$B$3:$B$40,'2025-Personas-FAIR-cleaned'!$K$3:$K$40)</f>
        <v>Interprets and apply data protection regulations (e.g., GDPR, HIPAA); review and validate licensing frameworks for data reuse; advise on ethical and legal aspects of data sharing; collaborate with Data Stewards and Data Protection Officers to align FAIR practices with legal obligations.</v>
      </c>
      <c r="G3" s="99" t="str">
        <f>_xlfn.XLOOKUP($B3,'2025-Personas-FAIR-cleaned'!$B$3:$B$40,'2025-Personas-FAIR-cleaned'!$O$3:$O$40)</f>
        <v>Issues: fragmented ownership and opaque provenance; missing persistent identifiers and lineage impede audit trails; inconsistent/insufficient metadata blocks discoverability and lawful-basis checks; unclear or absent licensing/usage terms; ad-hoc access controls and cross-border transfers heighten privacy risk; slow DSAR/eDiscovery due to siloed data; unmanaged retention/disposal; difficulty evidencing compliance in audits; contract negotiations stall over uncertainty. Latent gains if FAIR adopted: clear identifiers and provenance shorten audits/incident response; standard metadata enables lawful-basis and purpose-limitation checks; explicit licenses unlock compliant reuse; role-based access and APIs support consent/least-privilege; automated policy checks reduce legal review time; faster partner onboarding and data sharing; lower regulatory exposure and cost.</v>
      </c>
      <c r="H3" s="99" t="str">
        <f>_xlfn.XLOOKUP($B3,'2025-Personas-FAIR-cleaned'!$B$3:$B$40,'2025-Personas-FAIR-cleaned'!$M$3:$M$40)</f>
        <v>For a Legal Data Expert, the adoption of FAIR principles strengthens the organization’s ability to manage, share, and reuse data in full compliance with privacy, consent, and intellectual property regulations. By aligning data governance practices with FAIR, legal experts can ensure that data accessibility  respects regulatory and contractual access restrictions, safeguarding sensitive information while enabling controlled sharing. At the same time, FAIR enhances the traceability and reproducibility of data handling processes , ensuring that legal and ethical standards are consistently applied and verifiable. This transparency not only supports compliance and audit readiness but also builds organizational trust in data-driven activities, fostering responsible innovation and lawful data reuse across research and business contexts.</v>
      </c>
      <c r="I3" s="99" t="str">
        <f>_xlfn.XLOOKUP($B3,'2025-Personas-FAIR-cleaned'!$B$3:$B$40,'2025-Personas-FAIR-cleaned'!$P$3:$P$40)</f>
        <v>A1.2 enforces secure, role-based access aligned with privacy law; R1.1 ensures reproducibility of compliance records for regulators</v>
      </c>
      <c r="J3" s="1"/>
      <c r="K3" s="1"/>
      <c r="L3" s="1"/>
      <c r="M3" s="1"/>
      <c r="N3" s="1"/>
      <c r="O3" s="1"/>
      <c r="P3" s="1"/>
      <c r="Q3" s="1"/>
      <c r="R3" s="1"/>
      <c r="S3" s="1"/>
      <c r="T3" s="1"/>
      <c r="U3" s="1"/>
      <c r="V3" s="1"/>
      <c r="W3" s="1"/>
      <c r="X3" s="1"/>
    </row>
    <row r="4" spans="1:24">
      <c r="D4" s="85" t="str" cm="1">
        <f t="array" ref="D4:D7">_xlfn.TEXTSPLIT(D3,,";")</f>
        <v>Compliance Officer</v>
      </c>
      <c r="E4" s="85" t="str" cm="1">
        <f t="array" ref="E4:E6">_xlfn.TEXTSPLIT(E3,,",")</f>
        <v>Business_Leader</v>
      </c>
      <c r="G4" s="85" t="str" cm="1">
        <f t="array" ref="G4:G5">_xlfn.TEXTSPLIT(G3,,"Latent")</f>
        <v xml:space="preserve">Issues: fragmented ownership and opaque provenance; missing persistent identifiers and lineage impede audit trails; inconsistent/insufficient metadata blocks discoverability and lawful-basis checks; unclear or absent licensing/usage terms; ad-hoc access controls and cross-border transfers heighten privacy risk; slow DSAR/eDiscovery due to siloed data; unmanaged retention/disposal; difficulty evidencing compliance in audits; contract negotiations stall over uncertainty. </v>
      </c>
      <c r="I4" s="85" t="str" cm="1">
        <f t="array" ref="I4:I5">_xlfn.TEXTSPLIT(I3,,";")</f>
        <v>A1.2 enforces secure, role-based access aligned with privacy law</v>
      </c>
    </row>
    <row r="5" spans="1:24">
      <c r="D5" s="85" t="str">
        <v xml:space="preserve"> Data Protection Specialist</v>
      </c>
      <c r="E5" s="97" t="str">
        <v>Data_Owner</v>
      </c>
      <c r="G5" t="str">
        <v xml:space="preserve"> gains if FAIR adopted: clear identifiers and provenance shorten audits/incident response; standard metadata enables lawful-basis and purpose-limitation checks; explicit licenses unlock compliant reuse; role-based access and APIs support consent/least-privilege; automated policy checks reduce legal review time; faster partner onboarding and data sharing; lower regulatory exposure and cost.</v>
      </c>
      <c r="I5" t="str">
        <v xml:space="preserve"> R1.1 ensures reproducibility of compliance records for regulators</v>
      </c>
    </row>
    <row r="6" spans="1:24">
      <c r="D6" s="85" t="str">
        <v xml:space="preserve"> Regulatory Counsel</v>
      </c>
      <c r="E6" s="97" t="str">
        <v>Data_Steward</v>
      </c>
    </row>
    <row r="7" spans="1:24">
      <c r="D7" s="85" t="str">
        <v xml:space="preserve"> Risk Management Expert</v>
      </c>
      <c r="E7" s="97"/>
    </row>
    <row r="8" spans="1:24">
      <c r="D8" s="85"/>
      <c r="E8" s="97"/>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Legal_Data_Expert.md</v>
      </c>
    </row>
    <row r="19" spans="1:3" s="94" customFormat="1">
      <c r="A19" s="93" t="s">
        <v>871</v>
      </c>
    </row>
    <row r="21" spans="1:3">
      <c r="A21" t="s">
        <v>872</v>
      </c>
      <c r="B21" t="str">
        <f>B3</f>
        <v>Legal_Data_Expert</v>
      </c>
    </row>
    <row r="22" spans="1:3">
      <c r="A22" t="str">
        <f>CONCATENATE("[",B3,"]","(",B16,B3,")")</f>
        <v>[Legal_Data_Expert](https://pistoiaalliance.github.io/FAIRMaturityMatrix/FAIR_personas/Legal_Data_Expert)</v>
      </c>
    </row>
    <row r="24" spans="1:3">
      <c r="A24" t="s">
        <v>873</v>
      </c>
      <c r="B24" t="s">
        <v>874</v>
      </c>
      <c r="C24" t="str">
        <f>$B$3</f>
        <v>Legal_Data_Expert</v>
      </c>
    </row>
    <row r="25" spans="1:3" ht="30">
      <c r="A25" t="s">
        <v>875</v>
      </c>
      <c r="B25" s="1" t="str">
        <f>CONCATENATE(B24," ",C24)</f>
        <v>Synonyms of  Legal_Data_Expert</v>
      </c>
      <c r="C25" t="s">
        <v>875</v>
      </c>
    </row>
    <row r="26" spans="1:3">
      <c r="A26" t="s">
        <v>875</v>
      </c>
      <c r="B26" t="s">
        <v>876</v>
      </c>
      <c r="C26" t="s">
        <v>875</v>
      </c>
    </row>
    <row r="27" spans="1:3">
      <c r="A27" t="s">
        <v>875</v>
      </c>
      <c r="B27" t="str">
        <f t="shared" ref="B27:B33" si="0">D4</f>
        <v>Compliance Officer</v>
      </c>
      <c r="C27" t="s">
        <v>875</v>
      </c>
    </row>
    <row r="28" spans="1:3">
      <c r="A28" t="s">
        <v>875</v>
      </c>
      <c r="B28" t="str">
        <f t="shared" si="0"/>
        <v xml:space="preserve"> Data Protection Specialist</v>
      </c>
      <c r="C28" t="s">
        <v>875</v>
      </c>
    </row>
    <row r="29" spans="1:3">
      <c r="A29" t="s">
        <v>875</v>
      </c>
      <c r="B29" t="str">
        <f t="shared" si="0"/>
        <v xml:space="preserve"> Regulatory Counsel</v>
      </c>
      <c r="C29" t="s">
        <v>875</v>
      </c>
    </row>
    <row r="30" spans="1:3">
      <c r="A30" t="s">
        <v>875</v>
      </c>
      <c r="B30" t="str">
        <f t="shared" si="0"/>
        <v xml:space="preserve"> Risk Management Expert</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Legal_Data_Expert</v>
      </c>
    </row>
    <row r="36" spans="1:3">
      <c r="A36" t="str">
        <f>C3</f>
        <v>Provides legal and regulatory expertise to ensure data is managed, shared, and reused in compliance with privacy, consent, and intellectual property requirements, while supporting FAIR-aligned practices across the organization.Has expertise in privacy law, data governance, and intellectual property; ability to draft and interpret data sharing agreements; experience in regulatory compliance and ethical data use in research and business contexts.</v>
      </c>
    </row>
    <row r="39" spans="1:3">
      <c r="A39" s="69" t="s">
        <v>878</v>
      </c>
      <c r="B39" t="s">
        <v>879</v>
      </c>
      <c r="C39" t="str">
        <f>$B$3</f>
        <v>Legal_Data_Expert</v>
      </c>
    </row>
    <row r="40" spans="1:3" ht="30">
      <c r="A40" t="s">
        <v>875</v>
      </c>
      <c r="B40" s="1" t="str">
        <f>CONCATENATE(B39," ",C39)</f>
        <v>FAIR persona related to  Legal_Data_Expert</v>
      </c>
      <c r="C40" t="s">
        <v>875</v>
      </c>
    </row>
    <row r="41" spans="1:3">
      <c r="A41" t="s">
        <v>875</v>
      </c>
      <c r="B41" t="s">
        <v>876</v>
      </c>
      <c r="C41" t="s">
        <v>875</v>
      </c>
    </row>
    <row r="42" spans="1:3" ht="75">
      <c r="A42" t="s">
        <v>875</v>
      </c>
      <c r="B42" s="1" t="str">
        <f>CONCATENATE("[",E4,"]","(",$B$16,E4,")")</f>
        <v>[Business_Leader](https://pistoiaalliance.github.io/FAIRMaturityMatrix/FAIR_personas/Business_Leader)</v>
      </c>
      <c r="C42" t="s">
        <v>875</v>
      </c>
    </row>
    <row r="43" spans="1:3">
      <c r="A43" t="s">
        <v>875</v>
      </c>
      <c r="B43" t="str">
        <f t="shared" ref="B43:B49" si="1">CONCATENATE("[",E5,"]","(",$B$16,E5,")")</f>
        <v>[Data_Owner](https://pistoiaalliance.github.io/FAIRMaturityMatrix/FAIR_personas/Data_Owner)</v>
      </c>
      <c r="C43" t="s">
        <v>875</v>
      </c>
    </row>
    <row r="44" spans="1:3">
      <c r="A44" t="s">
        <v>875</v>
      </c>
      <c r="B44" t="str">
        <f t="shared" si="1"/>
        <v>[Data_Steward](https://pistoiaalliance.github.io/FAIRMaturityMatrix/FAIR_personas/Data_Steward)</v>
      </c>
      <c r="C44" t="s">
        <v>875</v>
      </c>
    </row>
    <row r="45" spans="1:3">
      <c r="A45" t="s">
        <v>875</v>
      </c>
      <c r="B45" t="str">
        <f t="shared" si="1"/>
        <v>[](https://pistoiaalliance.github.io/FAIRMaturityMatrix/FAIR_personas/)</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Legal_Data_Expert</v>
      </c>
    </row>
    <row r="52" spans="1:3">
      <c r="A52" t="str">
        <f>F3</f>
        <v>Interprets and apply data protection regulations (e.g., GDPR, HIPAA); review and validate licensing frameworks for data reuse; advise on ethical and legal aspects of data sharing; collaborate with Data Stewards and Data Protection Officers to align FAIR practices with legal obligations.</v>
      </c>
    </row>
    <row r="55" spans="1:3">
      <c r="A55" t="s">
        <v>881</v>
      </c>
      <c r="B55" s="69" t="s">
        <v>882</v>
      </c>
      <c r="C55" t="str">
        <f>$B$3</f>
        <v>Legal_Data_Expert</v>
      </c>
    </row>
    <row r="56" spans="1:3">
      <c r="A56" t="s">
        <v>883</v>
      </c>
      <c r="B56" t="s">
        <v>884</v>
      </c>
      <c r="C56" t="str">
        <f>$B$3</f>
        <v>Legal_Data_Expert</v>
      </c>
    </row>
    <row r="57" spans="1:3">
      <c r="A57" t="str">
        <f>G4</f>
        <v xml:space="preserve">Issues: fragmented ownership and opaque provenance; missing persistent identifiers and lineage impede audit trails; inconsistent/insufficient metadata blocks discoverability and lawful-basis checks; unclear or absent licensing/usage terms; ad-hoc access controls and cross-border transfers heighten privacy risk; slow DSAR/eDiscovery due to siloed data; unmanaged retention/disposal; difficulty evidencing compliance in audits; contract negotiations stall over uncertainty. </v>
      </c>
    </row>
    <row r="58" spans="1:3">
      <c r="A58" t="s">
        <v>883</v>
      </c>
      <c r="B58" t="s">
        <v>885</v>
      </c>
      <c r="C58" t="str">
        <f>$B$3</f>
        <v>Legal_Data_Expert</v>
      </c>
    </row>
    <row r="59" spans="1:3">
      <c r="A59" t="str">
        <f>CONCATENATE("Latent ",G5)</f>
        <v>Latent  gains if FAIR adopted: clear identifiers and provenance shorten audits/incident response; standard metadata enables lawful-basis and purpose-limitation checks; explicit licenses unlock compliant reuse; role-based access and APIs support consent/least-privilege; automated policy checks reduce legal review time; faster partner onboarding and data sharing; lower regulatory exposure and cost.</v>
      </c>
    </row>
    <row r="62" spans="1:3">
      <c r="A62" t="s">
        <v>873</v>
      </c>
      <c r="B62" s="69" t="s">
        <v>886</v>
      </c>
      <c r="C62" t="str">
        <f>$B$3</f>
        <v>Legal_Data_Expert</v>
      </c>
    </row>
    <row r="63" spans="1:3">
      <c r="A63" s="69" t="str">
        <f>H3</f>
        <v>For a Legal Data Expert, the adoption of FAIR principles strengthens the organization’s ability to manage, share, and reuse data in full compliance with privacy, consent, and intellectual property regulations. By aligning data governance practices with FAIR, legal experts can ensure that data accessibility  respects regulatory and contractual access restrictions, safeguarding sensitive information while enabling controlled sharing. At the same time, FAIR enhances the traceability and reproducibility of data handling processes , ensuring that legal and ethical standards are consistently applied and verifiable. This transparency not only supports compliance and audit readiness but also builds organizational trust in data-driven activities, fostering responsible innovation and lawful data reuse across research and business contexts.</v>
      </c>
    </row>
    <row r="64" spans="1:3">
      <c r="B64" s="69"/>
    </row>
    <row r="65" spans="1:2">
      <c r="A65" t="s">
        <v>883</v>
      </c>
      <c r="B65" t="str">
        <f>LEFT(A66,3)</f>
        <v>A1.</v>
      </c>
    </row>
    <row r="66" spans="1:2">
      <c r="A66" t="str">
        <f>I4</f>
        <v>A1.2 enforces secure, role-based access aligned with privacy law</v>
      </c>
    </row>
    <row r="67" spans="1:2">
      <c r="A67" t="s">
        <v>883</v>
      </c>
      <c r="B67" t="str">
        <f>LEFT(A68,3)</f>
        <v xml:space="preserve"> R1</v>
      </c>
    </row>
    <row r="68" spans="1:2">
      <c r="A68" t="str">
        <f>I5</f>
        <v xml:space="preserve"> R1.1 ensures reproducibility of compliance records for regulators</v>
      </c>
    </row>
    <row r="69" spans="1:2">
      <c r="A69" t="s">
        <v>883</v>
      </c>
      <c r="B69" t="str">
        <f>LEFT(A70,3)</f>
        <v>0</v>
      </c>
    </row>
    <row r="70" spans="1:2">
      <c r="A70">
        <f>I6</f>
        <v>0</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67E1D73B-6FC5-4ED6-B971-D843E09275FB}"/>
    <hyperlink ref="A3" r:id="rId2" xr:uid="{1A54F36A-A046-4285-A65A-88107DD9677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9A56EF-E73E-4C46-93FD-3A8E85032543}">
          <x14:formula1>
            <xm:f>'2025-Personas-FAIR-cleaned'!$B$3:$B$40</xm:f>
          </x14:formula1>
          <xm:sqref>B3 E5:E12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6077-54F7-4CA6-89CF-54C3BD99E2CB}">
  <dimension ref="A1:X90"/>
  <sheetViews>
    <sheetView topLeftCell="A64" workbookViewId="0">
      <selection activeCell="A21" sqref="A21:C74"/>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360</v>
      </c>
      <c r="C3" s="99" t="str">
        <f>_xlfn.XLOOKUP($B3,'2025-Personas-FAIR-cleaned'!$B$3:$B$40,'2025-Personas-FAIR-cleaned'!$D$3:$D$40)</f>
        <v>Oversees the daily operation of research or testing laboratories, ensuring that experiments, equipment, personnel, and data workflows run efficiently, safely, and in compliance with regulatory and quality standards. They coordinate between scientists, data teams, and quality or regulatory functions to maintain accurate experimental records, ensure data integrity, and optimize resource utilization. The role combines scientific leadership with operational and digital oversight, increasingly relying on data-driven decision-making to improve productivity and reproducibility. The role may include a wide range of responsibilities, including budget and spends, overseeing daily operations, ensuring safety, managing lab and IT equipments and supplies, and supervising staff.</v>
      </c>
      <c r="D3" s="99" t="str">
        <f>_xlfn.XLOOKUP($B3,'2025-Personas-FAIR-cleaned'!$B$3:$B$40,'2025-Personas-FAIR-cleaned'!$G$3:$G$40)</f>
        <v>Laboratory Operations Manager; Research Operations Manager; Laboratory Coordinator;  Facility Manager;  Laboratory Supervisor; Laboratory Operations Lead; Lab Head, Principal investigator;</v>
      </c>
      <c r="E3" s="100" t="str">
        <f>_xlfn.XLOOKUP($B3,'2025-Personas-FAIR-cleaned'!$B$3:$B$40,'2025-Personas-FAIR-cleaned'!$H$3:$H$40)</f>
        <v>Data_Owner,Lab_Manager,Project_Manager,Researcher,Business_Owner</v>
      </c>
      <c r="F3" s="99" t="str">
        <f>_xlfn.XLOOKUP($B3,'2025-Personas-FAIR-cleaned'!$B$3:$B$40,'2025-Personas-FAIR-cleaned'!$K$3:$K$40)</f>
        <v>Manage day-to-day activities, ensuring experiments, workflows, and safety procedures run smoothly and comply with regulatory standards.
Manage data workflows and documentation, including the capture, validation, and archiving of experimental data across digital systems (e.g., ELN, LIMS) to maintain integrity, traceability, and reproducibility.
Allocate staff, instruments, and materials effectively to maximize productivity and minimize delays or downtime.
Ensure quality, compliance, and audit readiness, including  monitor data quality, equipment calibration, and documentation to meet GxP and regulatory requirements, supporting internal and external audits.</v>
      </c>
      <c r="G3" s="99" t="str">
        <f>_xlfn.XLOOKUP($B3,'2025-Personas-FAIR-cleaned'!$B$3:$B$40,'2025-Personas-FAIR-cleaned'!$O$3:$O$40)</f>
        <v>Issues: Lab Managers often face fragmented and inefficient data environments, where managing digital assets is seen as an IT responsibility rather than an integral part of laboratory operations. Limited training in FAIR data practices and data governance leads to inconsistent documentation and poor metadata quality. Legacy applications and automation systems constrain interoperability and hinder modernization efforts. Budget planning rarely accounts for the upkeep of digital assets or data infrastructure, resulting in technical debt and security vulnerabilities. Moreover, the role of Lab Manager may rotate among staff, leading to inconsistent ownership, variable data management standards, and loss of institutional knowledge.
Latent Gains: Implementing FAIR principles transforms lab management by embedding data stewardship directly into operational workflows. FAIR ensures structured metadata, standardized formats, and interoperable systems that enhance traceability, compliance, and reproducibility. Automated data capture and integration reduce manual workload, freeing managers to focus on quality and innovation. Training and clear governance frameworks empower lab personnel to maintain digital assets responsibly, while better budgeting for data infrastructure ensures sustainability. Ultimately, FAIR enables a transparent, efficient, and future-ready lab environment that supports continuous improvement and scientific excellence.</v>
      </c>
      <c r="H3" s="99" t="str">
        <f>_xlfn.XLOOKUP($B3,'2025-Personas-FAIR-cleaned'!$B$3:$B$40,'2025-Personas-FAIR-cleaned'!$M$3:$M$40)</f>
        <v>transforms laboratory operations from manual and fragmented to digital, efficient, and compliant. By making experimental data findable through persistent identifiers and standardized metadata, FAIR ensures that samples, assays, and results can be quickly located, linked, and reused across projects—saving time and reducing administrative overhead. Accessible and well-governed data enable seamless sharing between teams and systems, improving collaboration while maintaining security and regulatory control. Through interoperable data formats and shared ontologies, FAIR connects instruments, ELNs, LIMS, and analytical platforms, eliminating silos and streamlining workflows. Finally, reusable, provenance-rich data strengthen reproducibility and audit readiness, allowing the Lab Manager to demonstrate data integrity and compliance effortlessly. In a FAIR-mature environment, the Lab Manager can shift focus from operational firefighting to continuous improvement, driving higher quality, efficiency, and scientific innovation across the laboratory ecosystem.</v>
      </c>
      <c r="I3" s="99" t="str">
        <f>_xlfn.XLOOKUP($B3,'2025-Personas-FAIR-cleaned'!$B$3:$B$40,'2025-Personas-FAIR-cleaned'!$P$3:$P$40)</f>
        <v>F1 provides persistent identifiers that track samples, instruments, and experimental outputs unambiguously; F2 ensures metadata is complete so lab operations, methods, and results are transparent and auditable; A1 guarantees secure yet efficient access to lab data across instruments and IT systems; I1 enables interoperability between laboratory information systems and research platforms; R1.1 assures reproducibility of experiments and regulatory submissions, reducing compliance risks.</v>
      </c>
      <c r="J3" s="1"/>
      <c r="K3" s="1"/>
      <c r="L3" s="1"/>
      <c r="M3" s="1"/>
      <c r="N3" s="1"/>
      <c r="O3" s="1"/>
      <c r="P3" s="1"/>
      <c r="Q3" s="1"/>
      <c r="R3" s="1"/>
      <c r="S3" s="1"/>
      <c r="T3" s="1"/>
      <c r="U3" s="1"/>
      <c r="V3" s="1"/>
      <c r="W3" s="1"/>
      <c r="X3" s="1"/>
    </row>
    <row r="4" spans="1:24">
      <c r="D4" s="85" t="str" cm="1">
        <f t="array" ref="D4:D11">_xlfn.TEXTSPLIT(D3,,";")</f>
        <v>Laboratory Operations Manager</v>
      </c>
      <c r="E4" s="85" t="str" cm="1">
        <f t="array" ref="E4:E8">_xlfn.TEXTSPLIT(E3,,",")</f>
        <v>Data_Owner</v>
      </c>
      <c r="G4" s="85" t="str" cm="1">
        <f t="array" ref="G4:G5">_xlfn.TEXTSPLIT(G3,,"Latent")</f>
        <v xml:space="preserve">Issues: Lab Managers often face fragmented and inefficient data environments, where managing digital assets is seen as an IT responsibility rather than an integral part of laboratory operations. Limited training in FAIR data practices and data governance leads to inconsistent documentation and poor metadata quality. Legacy applications and automation systems constrain interoperability and hinder modernization efforts. Budget planning rarely accounts for the upkeep of digital assets or data infrastructure, resulting in technical debt and security vulnerabilities. Moreover, the role of Lab Manager may rotate among staff, leading to inconsistent ownership, variable data management standards, and loss of institutional knowledge.
</v>
      </c>
      <c r="I4" s="85" t="str" cm="1">
        <f t="array" ref="I4:I8">_xlfn.TEXTSPLIT(I3,,";")</f>
        <v>F1 provides persistent identifiers that track samples, instruments, and experimental outputs unambiguously</v>
      </c>
    </row>
    <row r="5" spans="1:24">
      <c r="D5" s="85" t="str">
        <v xml:space="preserve"> Research Operations Manager</v>
      </c>
      <c r="E5" s="97" t="str">
        <v>Lab_Manager</v>
      </c>
      <c r="G5" t="str">
        <v xml:space="preserve"> Gains: Implementing FAIR principles transforms lab management by embedding data stewardship directly into operational workflows. FAIR ensures structured metadata, standardized formats, and interoperable systems that enhance traceability, compliance, and reproducibility. Automated data capture and integration reduce manual workload, freeing managers to focus on quality and innovation. Training and clear governance frameworks empower lab personnel to maintain digital assets responsibly, while better budgeting for data infrastructure ensures sustainability. Ultimately, FAIR enables a transparent, efficient, and future-ready lab environment that supports continuous improvement and scientific excellence.</v>
      </c>
      <c r="I5" t="str">
        <v xml:space="preserve"> F2 ensures metadata is complete so lab operations, methods, and results are transparent and auditable</v>
      </c>
    </row>
    <row r="6" spans="1:24">
      <c r="D6" s="85" t="str">
        <v xml:space="preserve"> Laboratory Coordinator</v>
      </c>
      <c r="E6" s="97" t="str">
        <v>Project_Manager</v>
      </c>
      <c r="I6" t="str">
        <v xml:space="preserve"> A1 guarantees secure yet efficient access to lab data across instruments and IT systems</v>
      </c>
    </row>
    <row r="7" spans="1:24">
      <c r="D7" s="85" t="str">
        <v xml:space="preserve">  Facility Manager</v>
      </c>
      <c r="E7" s="97" t="str">
        <v>Researcher</v>
      </c>
      <c r="I7" t="str">
        <v xml:space="preserve"> I1 enables interoperability between laboratory information systems and research platforms</v>
      </c>
    </row>
    <row r="8" spans="1:24">
      <c r="D8" s="85" t="str">
        <v xml:space="preserve">  Laboratory Supervisor</v>
      </c>
      <c r="E8" s="97" t="str">
        <v>Business_Owner</v>
      </c>
      <c r="I8" t="str">
        <v xml:space="preserve"> R1.1 assures reproducibility of experiments and regulatory submissions, reducing compliance risks.</v>
      </c>
    </row>
    <row r="9" spans="1:24">
      <c r="D9" s="85" t="str">
        <v xml:space="preserve"> Laboratory Operations Lead</v>
      </c>
      <c r="E9" s="97"/>
    </row>
    <row r="10" spans="1:24">
      <c r="D10" s="85" t="str">
        <v xml:space="preserve"> Lab Head, Principal investigator</v>
      </c>
      <c r="E10" s="97"/>
    </row>
    <row r="11" spans="1:24">
      <c r="D11" t="str">
        <v/>
      </c>
      <c r="E11" s="97"/>
    </row>
    <row r="12" spans="1:24">
      <c r="E12" s="97"/>
    </row>
    <row r="16" spans="1:24">
      <c r="A16" s="4" t="s">
        <v>868</v>
      </c>
      <c r="B16" s="56" t="s">
        <v>869</v>
      </c>
    </row>
    <row r="17" spans="1:3">
      <c r="A17" s="4" t="s">
        <v>870</v>
      </c>
      <c r="B17" t="str">
        <f>CONCATENATE(B3,".md")</f>
        <v>Lab_Manager.md</v>
      </c>
    </row>
    <row r="19" spans="1:3" s="94" customFormat="1">
      <c r="A19" s="93" t="s">
        <v>871</v>
      </c>
    </row>
    <row r="21" spans="1:3">
      <c r="A21" t="s">
        <v>872</v>
      </c>
      <c r="B21" t="str">
        <f>B3</f>
        <v>Lab_Manager</v>
      </c>
    </row>
    <row r="22" spans="1:3">
      <c r="A22" t="str">
        <f>CONCATENATE("[",B3,"]","(",B16,B3,")")</f>
        <v>[Lab_Manager](https://pistoiaalliance.github.io/FAIRMaturityMatrix/FAIR_personas/Lab_Manager)</v>
      </c>
    </row>
    <row r="24" spans="1:3">
      <c r="A24" t="s">
        <v>873</v>
      </c>
      <c r="B24" t="s">
        <v>874</v>
      </c>
      <c r="C24" t="str">
        <f>$B$3</f>
        <v>Lab_Manager</v>
      </c>
    </row>
    <row r="25" spans="1:3" ht="30">
      <c r="A25" t="s">
        <v>875</v>
      </c>
      <c r="B25" s="1" t="str">
        <f>CONCATENATE(B24," ",C24)</f>
        <v>Synonyms of  Lab_Manager</v>
      </c>
      <c r="C25" t="s">
        <v>875</v>
      </c>
    </row>
    <row r="26" spans="1:3">
      <c r="A26" t="s">
        <v>875</v>
      </c>
      <c r="B26" t="s">
        <v>876</v>
      </c>
      <c r="C26" t="s">
        <v>875</v>
      </c>
    </row>
    <row r="27" spans="1:3">
      <c r="A27" t="s">
        <v>875</v>
      </c>
      <c r="B27" t="str">
        <f t="shared" ref="B27:B33" si="0">D4</f>
        <v>Laboratory Operations Manager</v>
      </c>
      <c r="C27" t="s">
        <v>875</v>
      </c>
    </row>
    <row r="28" spans="1:3">
      <c r="A28" t="s">
        <v>875</v>
      </c>
      <c r="B28" t="str">
        <f t="shared" si="0"/>
        <v xml:space="preserve"> Research Operations Manager</v>
      </c>
      <c r="C28" t="s">
        <v>875</v>
      </c>
    </row>
    <row r="29" spans="1:3">
      <c r="A29" t="s">
        <v>875</v>
      </c>
      <c r="B29" t="str">
        <f t="shared" si="0"/>
        <v xml:space="preserve"> Laboratory Coordinator</v>
      </c>
      <c r="C29" t="s">
        <v>875</v>
      </c>
    </row>
    <row r="30" spans="1:3">
      <c r="A30" t="s">
        <v>875</v>
      </c>
      <c r="B30" t="str">
        <f t="shared" si="0"/>
        <v xml:space="preserve">  Facility Manager</v>
      </c>
      <c r="C30" t="s">
        <v>875</v>
      </c>
    </row>
    <row r="31" spans="1:3">
      <c r="A31" t="s">
        <v>875</v>
      </c>
      <c r="B31" t="str">
        <f t="shared" si="0"/>
        <v xml:space="preserve">  Laboratory Supervisor</v>
      </c>
      <c r="C31" t="s">
        <v>875</v>
      </c>
    </row>
    <row r="32" spans="1:3">
      <c r="A32" t="s">
        <v>875</v>
      </c>
      <c r="B32" t="str">
        <f t="shared" si="0"/>
        <v xml:space="preserve"> Laboratory Operations Lead</v>
      </c>
      <c r="C32" t="s">
        <v>875</v>
      </c>
    </row>
    <row r="33" spans="1:3">
      <c r="A33" t="s">
        <v>875</v>
      </c>
      <c r="B33" t="str">
        <f t="shared" si="0"/>
        <v xml:space="preserve"> Lab Head, Principal investigator</v>
      </c>
      <c r="C33" t="s">
        <v>875</v>
      </c>
    </row>
    <row r="35" spans="1:3">
      <c r="A35" t="s">
        <v>873</v>
      </c>
      <c r="B35" t="s">
        <v>877</v>
      </c>
      <c r="C35" t="str">
        <f>$B$3</f>
        <v>Lab_Manager</v>
      </c>
    </row>
    <row r="36" spans="1:3">
      <c r="A36" t="str">
        <f>C3</f>
        <v>Oversees the daily operation of research or testing laboratories, ensuring that experiments, equipment, personnel, and data workflows run efficiently, safely, and in compliance with regulatory and quality standards. They coordinate between scientists, data teams, and quality or regulatory functions to maintain accurate experimental records, ensure data integrity, and optimize resource utilization. The role combines scientific leadership with operational and digital oversight, increasingly relying on data-driven decision-making to improve productivity and reproducibility. The role may include a wide range of responsibilities, including budget and spends, overseeing daily operations, ensuring safety, managing lab and IT equipments and supplies, and supervising staff.</v>
      </c>
    </row>
    <row r="39" spans="1:3">
      <c r="A39" s="69" t="s">
        <v>878</v>
      </c>
      <c r="B39" t="s">
        <v>879</v>
      </c>
      <c r="C39" t="str">
        <f>$B$3</f>
        <v>Lab_Manager</v>
      </c>
    </row>
    <row r="40" spans="1:3" ht="30">
      <c r="A40" t="s">
        <v>875</v>
      </c>
      <c r="B40" s="1" t="str">
        <f>CONCATENATE(B39," ",C39)</f>
        <v>FAIR persona related to  Lab_Manager</v>
      </c>
      <c r="C40" t="s">
        <v>875</v>
      </c>
    </row>
    <row r="41" spans="1:3">
      <c r="A41" t="s">
        <v>875</v>
      </c>
      <c r="B41" t="s">
        <v>876</v>
      </c>
      <c r="C41" t="s">
        <v>875</v>
      </c>
    </row>
    <row r="42" spans="1:3" ht="75">
      <c r="A42" t="s">
        <v>875</v>
      </c>
      <c r="B42" s="1" t="str">
        <f>CONCATENATE("[",E4,"]","(",$B$16,E4,")")</f>
        <v>[Data_Owner](https://pistoiaalliance.github.io/FAIRMaturityMatrix/FAIR_personas/Data_Owner)</v>
      </c>
      <c r="C42" t="s">
        <v>875</v>
      </c>
    </row>
    <row r="43" spans="1:3">
      <c r="A43" t="s">
        <v>875</v>
      </c>
      <c r="B43" t="str">
        <f t="shared" ref="B43:B49" si="1">CONCATENATE("[",E5,"]","(",$B$16,E5,")")</f>
        <v>[Lab_Manager](https://pistoiaalliance.github.io/FAIRMaturityMatrix/FAIR_personas/Lab_Manager)</v>
      </c>
      <c r="C43" t="s">
        <v>875</v>
      </c>
    </row>
    <row r="44" spans="1:3">
      <c r="A44" t="s">
        <v>875</v>
      </c>
      <c r="B44" t="str">
        <f t="shared" si="1"/>
        <v>[Project_Manager](https://pistoiaalliance.github.io/FAIRMaturityMatrix/FAIR_personas/Project_Manager)</v>
      </c>
      <c r="C44" t="s">
        <v>875</v>
      </c>
    </row>
    <row r="45" spans="1:3">
      <c r="A45" t="s">
        <v>875</v>
      </c>
      <c r="B45" t="str">
        <f t="shared" si="1"/>
        <v>[Researcher](https://pistoiaalliance.github.io/FAIRMaturityMatrix/FAIR_personas/Researcher)</v>
      </c>
      <c r="C45" t="s">
        <v>875</v>
      </c>
    </row>
    <row r="46" spans="1:3">
      <c r="A46" t="s">
        <v>875</v>
      </c>
      <c r="B46" t="str">
        <f t="shared" si="1"/>
        <v>[Business_Owner](https://pistoiaalliance.github.io/FAIRMaturityMatrix/FAIR_personas/Business_Owner)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Lab_Manager</v>
      </c>
    </row>
    <row r="52" spans="1:3">
      <c r="A52" t="str">
        <f>F3</f>
        <v>Manage day-to-day activities, ensuring experiments, workflows, and safety procedures run smoothly and comply with regulatory standards.
Manage data workflows and documentation, including the capture, validation, and archiving of experimental data across digital systems (e.g., ELN, LIMS) to maintain integrity, traceability, and reproducibility.
Allocate staff, instruments, and materials effectively to maximize productivity and minimize delays or downtime.
Ensure quality, compliance, and audit readiness, including  monitor data quality, equipment calibration, and documentation to meet GxP and regulatory requirements, supporting internal and external audits.</v>
      </c>
    </row>
    <row r="55" spans="1:3">
      <c r="A55" t="s">
        <v>881</v>
      </c>
      <c r="B55" s="69" t="s">
        <v>882</v>
      </c>
      <c r="C55" t="str">
        <f>$B$3</f>
        <v>Lab_Manager</v>
      </c>
    </row>
    <row r="56" spans="1:3">
      <c r="A56" t="s">
        <v>883</v>
      </c>
      <c r="B56" t="s">
        <v>884</v>
      </c>
      <c r="C56" t="str">
        <f>$B$3</f>
        <v>Lab_Manager</v>
      </c>
    </row>
    <row r="57" spans="1:3">
      <c r="A57" t="str">
        <f>G4</f>
        <v xml:space="preserve">Issues: Lab Managers often face fragmented and inefficient data environments, where managing digital assets is seen as an IT responsibility rather than an integral part of laboratory operations. Limited training in FAIR data practices and data governance leads to inconsistent documentation and poor metadata quality. Legacy applications and automation systems constrain interoperability and hinder modernization efforts. Budget planning rarely accounts for the upkeep of digital assets or data infrastructure, resulting in technical debt and security vulnerabilities. Moreover, the role of Lab Manager may rotate among staff, leading to inconsistent ownership, variable data management standards, and loss of institutional knowledge.
</v>
      </c>
    </row>
    <row r="58" spans="1:3">
      <c r="A58" t="s">
        <v>883</v>
      </c>
      <c r="B58" t="s">
        <v>885</v>
      </c>
      <c r="C58" t="str">
        <f>$B$3</f>
        <v>Lab_Manager</v>
      </c>
    </row>
    <row r="59" spans="1:3">
      <c r="A59" t="str">
        <f>CONCATENATE("Latent ",G5)</f>
        <v>Latent  Gains: Implementing FAIR principles transforms lab management by embedding data stewardship directly into operational workflows. FAIR ensures structured metadata, standardized formats, and interoperable systems that enhance traceability, compliance, and reproducibility. Automated data capture and integration reduce manual workload, freeing managers to focus on quality and innovation. Training and clear governance frameworks empower lab personnel to maintain digital assets responsibly, while better budgeting for data infrastructure ensures sustainability. Ultimately, FAIR enables a transparent, efficient, and future-ready lab environment that supports continuous improvement and scientific excellence.</v>
      </c>
    </row>
    <row r="62" spans="1:3">
      <c r="A62" t="s">
        <v>873</v>
      </c>
      <c r="B62" s="69" t="s">
        <v>886</v>
      </c>
      <c r="C62" t="str">
        <f>$B$3</f>
        <v>Lab_Manager</v>
      </c>
    </row>
    <row r="63" spans="1:3">
      <c r="A63" s="69" t="str">
        <f>H3</f>
        <v>transforms laboratory operations from manual and fragmented to digital, efficient, and compliant. By making experimental data findable through persistent identifiers and standardized metadata, FAIR ensures that samples, assays, and results can be quickly located, linked, and reused across projects—saving time and reducing administrative overhead. Accessible and well-governed data enable seamless sharing between teams and systems, improving collaboration while maintaining security and regulatory control. Through interoperable data formats and shared ontologies, FAIR connects instruments, ELNs, LIMS, and analytical platforms, eliminating silos and streamlining workflows. Finally, reusable, provenance-rich data strengthen reproducibility and audit readiness, allowing the Lab Manager to demonstrate data integrity and compliance effortlessly. In a FAIR-mature environment, the Lab Manager can shift focus from operational firefighting to continuous improvement, driving higher quality, efficiency, and scientific innovation across the laboratory ecosystem.</v>
      </c>
    </row>
    <row r="64" spans="1:3">
      <c r="B64" s="69"/>
    </row>
    <row r="65" spans="1:2">
      <c r="A65" t="s">
        <v>883</v>
      </c>
      <c r="B65" t="str">
        <f>LEFT(A66,3)</f>
        <v xml:space="preserve">F1 </v>
      </c>
    </row>
    <row r="66" spans="1:2">
      <c r="A66" t="str">
        <f>I4</f>
        <v>F1 provides persistent identifiers that track samples, instruments, and experimental outputs unambiguously</v>
      </c>
    </row>
    <row r="67" spans="1:2">
      <c r="A67" t="s">
        <v>883</v>
      </c>
      <c r="B67" t="str">
        <f>LEFT(A68,3)</f>
        <v xml:space="preserve"> F2</v>
      </c>
    </row>
    <row r="68" spans="1:2">
      <c r="A68" t="str">
        <f>I5</f>
        <v xml:space="preserve"> F2 ensures metadata is complete so lab operations, methods, and results are transparent and auditable</v>
      </c>
    </row>
    <row r="69" spans="1:2">
      <c r="A69" t="s">
        <v>883</v>
      </c>
      <c r="B69" t="str">
        <f>LEFT(A70,3)</f>
        <v xml:space="preserve"> A1</v>
      </c>
    </row>
    <row r="70" spans="1:2">
      <c r="A70" t="str">
        <f>I6</f>
        <v xml:space="preserve"> A1 guarantees secure yet efficient access to lab data across instruments and IT systems</v>
      </c>
    </row>
    <row r="71" spans="1:2">
      <c r="A71" t="s">
        <v>883</v>
      </c>
      <c r="B71" t="str">
        <f>LEFT(A72,3)</f>
        <v xml:space="preserve"> I1</v>
      </c>
    </row>
    <row r="72" spans="1:2">
      <c r="A72" t="str">
        <f>I7</f>
        <v xml:space="preserve"> I1 enables interoperability between laboratory information systems and research platforms</v>
      </c>
    </row>
    <row r="73" spans="1:2">
      <c r="A73" t="s">
        <v>883</v>
      </c>
      <c r="B73" t="str">
        <f>LEFT(A74,3)</f>
        <v xml:space="preserve"> R1</v>
      </c>
    </row>
    <row r="74" spans="1:2">
      <c r="A74" t="str">
        <f>I8</f>
        <v xml:space="preserve"> R1.1 assures reproducibility of experiments and regulatory submissions, reducing compliance risks.</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815EF984-349E-4802-9BB0-F8EB99F4DF5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2A1A5B-EEE1-4143-A71D-64183156F043}">
          <x14:formula1>
            <xm:f>'2025-Personas-FAIR-cleaned'!$B$3:$B$40</xm:f>
          </x14:formula1>
          <xm:sqref>B3 E5:E12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465D-912D-43D1-91ED-05BE4E3D5A6C}">
  <dimension ref="A1:X90"/>
  <sheetViews>
    <sheetView topLeftCell="A61" workbookViewId="0">
      <selection activeCell="A21" sqref="A21:C68"/>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347</v>
      </c>
      <c r="C3" s="99" t="str">
        <f>_xlfn.XLOOKUP($B3,'2025-Personas-FAIR-cleaned'!$B$3:$B$40,'2025-Personas-FAIR-cleaned'!$D$3:$D$40)</f>
        <v xml:space="preserve">Trainers design and deliver training programs to a variety of stakeholders ranging from researchers to business leaders and project teams across organisation functions (R&amp;ED, but also development, clinical, franchises), with a focus on awareness and best practice implementation of FAIR data principles. The role supports compliance with corporate data governance policies, regulatory expectations, and scientific needs. It interfaces and interacts woth 
</v>
      </c>
      <c r="D3" s="99" t="str">
        <f>_xlfn.XLOOKUP($B3,'2025-Personas-FAIR-cleaned'!$B$3:$B$40,'2025-Personas-FAIR-cleaned'!$G$3:$G$40)</f>
        <v>FAIR Educator; FAIR Enablement Specialist; Data Stewardship Instructor</v>
      </c>
      <c r="E3" s="100" t="str">
        <f>_xlfn.XLOOKUP($B3,'2025-Personas-FAIR-cleaned'!$B$3:$B$40,'2025-Personas-FAIR-cleaned'!$H$3:$H$40)</f>
        <v>Business_Analyst,Citized_Data_Scientist,Data_Analyst,Data_Steward,Researcher</v>
      </c>
      <c r="F3" s="99" t="str">
        <f>_xlfn.XLOOKUP($B3,'2025-Personas-FAIR-cleaned'!$B$3:$B$40,'2025-Personas-FAIR-cleaned'!$K$3:$K$40)</f>
        <v xml:space="preserve">Collaborate with data governance leads, technology leads, data architects, community managers and researcher teams to identify training needs aligned with corporate strategy; design tailored, role-specific training schedules; create high-quality, compliant, and FAIR-aligned learning materials (presentations, manuals, e-learning modules, job aids); deliver  in-person, virtual, and hybrid sessions combining policy awareness with hands-on skills; promote company-approved and community recommended  tools, standards, and workflows; adapt delivery for varied therapeutic areas, modalities, and stages of development (R&amp;D, etc); establish continuous improvement processes through structured feedback and impact measurement. Keep track of FAIR training offering outside of the organisation.
</v>
      </c>
      <c r="G3" s="99" t="str">
        <f>_xlfn.XLOOKUP($B3,'2025-Personas-FAIR-cleaned'!$B$3:$B$40,'2025-Personas-FAIR-cleaned'!$O$3:$O$40)</f>
        <v>Issues: The lower the organisation FAIR maturity level, the higher the complexity of the role and the need to create awareness.
Lack of clarity and alignment in terms of needs and requirements from the organisations can be expected.
 At more advanced maturity levels, traning may become diversified and tuned to the needs of differen stakeholders, from business leaders, to researchers, to Data Stewards and Architects.
In a change management process, the value of the training, FAIR and data-centric approach may be challenged.. Latent gains: implementing FAIR principles would reduce these challenges and unlock efficiency, compliance, and reuse.</v>
      </c>
      <c r="H3" s="99" t="str">
        <f>_xlfn.XLOOKUP($B3,'2025-Personas-FAIR-cleaned'!$B$3:$B$40,'2025-Personas-FAIR-cleaned'!$M$3:$M$40)</f>
        <v>FAIR principles provide a strong foundation for trainers to embed best practices in data management and reusability across teams and organizations. By leveraging success stories, FAIR Trainers can effectively articulate the underlying rationale ('why') for FAIR training, fostering greater engagement and commitment. The re-use of FAIR-aligned training materials and the adoption of open standards are facilitated by highlighting real-world examples from FAIR implementation journeys and profiles. With well-defined metrics and frameworks such as FAIR indicators and the FAIR Maturity Model (FAIR MM), Trainers are able to assess both datasets and organizational adherence, offering tangible benchmarks for progress. The impact of training is ultimately heightened through the availability of FAIR-compliant data and implementation examples</v>
      </c>
      <c r="I3" s="99" t="str">
        <f>_xlfn.XLOOKUP($B3,'2025-Personas-FAIR-cleaned'!$B$3:$B$40,'2025-Personas-FAIR-cleaned'!$P$3:$P$40)</f>
        <v>F2 provides richly described training datasets for learners; R1.3 promotes reuse of materials aligned with community standards</v>
      </c>
      <c r="J3" s="1"/>
      <c r="K3" s="1"/>
      <c r="L3" s="1"/>
      <c r="M3" s="1"/>
      <c r="N3" s="1"/>
      <c r="O3" s="1"/>
      <c r="P3" s="1"/>
      <c r="Q3" s="1"/>
      <c r="R3" s="1"/>
      <c r="S3" s="1"/>
      <c r="T3" s="1"/>
      <c r="U3" s="1"/>
      <c r="V3" s="1"/>
      <c r="W3" s="1"/>
      <c r="X3" s="1"/>
    </row>
    <row r="4" spans="1:24">
      <c r="D4" s="85" t="str" cm="1">
        <f t="array" ref="D4:D6">_xlfn.TEXTSPLIT(D3,,";")</f>
        <v>FAIR Educator</v>
      </c>
      <c r="E4" s="85" t="str" cm="1">
        <f t="array" ref="E4:E8">_xlfn.TEXTSPLIT(E3,,",")</f>
        <v>Business_Analyst</v>
      </c>
      <c r="G4" s="85" t="str" cm="1">
        <f t="array" ref="G4:G5">_xlfn.TEXTSPLIT(G3,,"Latent")</f>
        <v xml:space="preserve">Issues: The lower the organisation FAIR maturity level, the higher the complexity of the role and the need to create awareness.
Lack of clarity and alignment in terms of needs and requirements from the organisations can be expected.
 At more advanced maturity levels, traning may become diversified and tuned to the needs of differen stakeholders, from business leaders, to researchers, to Data Stewards and Architects.
In a change management process, the value of the training, FAIR and data-centric approach may be challenged.. </v>
      </c>
      <c r="I4" s="85" t="str" cm="1">
        <f t="array" ref="I4:I5">_xlfn.TEXTSPLIT(I3,,";")</f>
        <v>F2 provides richly described training datasets for learners</v>
      </c>
    </row>
    <row r="5" spans="1:24">
      <c r="D5" s="85" t="str">
        <v xml:space="preserve"> FAIR Enablement Specialist</v>
      </c>
      <c r="E5" s="97" t="str">
        <v>Citized_Data_Scientist</v>
      </c>
      <c r="G5" t="str">
        <v xml:space="preserve"> gains: implementing FAIR principles would reduce these challenges and unlock efficiency, compliance, and reuse.</v>
      </c>
      <c r="I5" t="str">
        <v xml:space="preserve"> R1.3 promotes reuse of materials aligned with community standards</v>
      </c>
    </row>
    <row r="6" spans="1:24">
      <c r="D6" s="85" t="str">
        <v xml:space="preserve"> Data Stewardship Instructor</v>
      </c>
      <c r="E6" s="97" t="str">
        <v>Data_Analyst</v>
      </c>
    </row>
    <row r="7" spans="1:24">
      <c r="D7" s="85"/>
      <c r="E7" s="97" t="str">
        <v>Data_Steward</v>
      </c>
    </row>
    <row r="8" spans="1:24">
      <c r="D8" s="85"/>
      <c r="E8" s="97" t="str">
        <v>Researcher</v>
      </c>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FAIR_Trainer.md</v>
      </c>
    </row>
    <row r="19" spans="1:3" s="94" customFormat="1">
      <c r="A19" s="93" t="s">
        <v>871</v>
      </c>
    </row>
    <row r="21" spans="1:3">
      <c r="A21" t="s">
        <v>872</v>
      </c>
      <c r="B21" t="str">
        <f>B3</f>
        <v>FAIR_Trainer</v>
      </c>
    </row>
    <row r="22" spans="1:3">
      <c r="A22" t="str">
        <f>CONCATENATE("[",B3,"]","(",B16,B3,")")</f>
        <v>[FAIR_Trainer](https://pistoiaalliance.github.io/FAIRMaturityMatrix/FAIR_personas/FAIR_Trainer)</v>
      </c>
    </row>
    <row r="24" spans="1:3">
      <c r="A24" t="s">
        <v>873</v>
      </c>
      <c r="B24" t="s">
        <v>874</v>
      </c>
      <c r="C24" t="str">
        <f>$B$3</f>
        <v>FAIR_Trainer</v>
      </c>
    </row>
    <row r="25" spans="1:3" ht="30">
      <c r="A25" t="s">
        <v>875</v>
      </c>
      <c r="B25" s="1" t="str">
        <f>CONCATENATE(B24," ",C24)</f>
        <v>Synonyms of  FAIR_Trainer</v>
      </c>
      <c r="C25" t="s">
        <v>875</v>
      </c>
    </row>
    <row r="26" spans="1:3">
      <c r="A26" t="s">
        <v>875</v>
      </c>
      <c r="B26" t="s">
        <v>876</v>
      </c>
      <c r="C26" t="s">
        <v>875</v>
      </c>
    </row>
    <row r="27" spans="1:3">
      <c r="A27" t="s">
        <v>875</v>
      </c>
      <c r="B27" t="str">
        <f t="shared" ref="B27:B33" si="0">D4</f>
        <v>FAIR Educator</v>
      </c>
      <c r="C27" t="s">
        <v>875</v>
      </c>
    </row>
    <row r="28" spans="1:3">
      <c r="A28" t="s">
        <v>875</v>
      </c>
      <c r="B28" t="str">
        <f t="shared" si="0"/>
        <v xml:space="preserve"> FAIR Enablement Specialist</v>
      </c>
      <c r="C28" t="s">
        <v>875</v>
      </c>
    </row>
    <row r="29" spans="1:3">
      <c r="A29" t="s">
        <v>875</v>
      </c>
      <c r="B29" t="str">
        <f t="shared" si="0"/>
        <v xml:space="preserve"> Data Stewardship Instructor</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FAIR_Trainer</v>
      </c>
    </row>
    <row r="36" spans="1:3">
      <c r="A36" t="str">
        <f>C3</f>
        <v xml:space="preserve">Trainers design and deliver training programs to a variety of stakeholders ranging from researchers to business leaders and project teams across organisation functions (R&amp;ED, but also development, clinical, franchises), with a focus on awareness and best practice implementation of FAIR data principles. The role supports compliance with corporate data governance policies, regulatory expectations, and scientific needs. It interfaces and interacts woth 
</v>
      </c>
    </row>
    <row r="39" spans="1:3">
      <c r="A39" s="69" t="s">
        <v>878</v>
      </c>
      <c r="B39" t="s">
        <v>879</v>
      </c>
      <c r="C39" t="str">
        <f>$B$3</f>
        <v>FAIR_Trainer</v>
      </c>
    </row>
    <row r="40" spans="1:3" ht="30">
      <c r="A40" t="s">
        <v>875</v>
      </c>
      <c r="B40" s="1" t="str">
        <f>CONCATENATE(B39," ",C39)</f>
        <v>FAIR persona related to  FAIR_Trainer</v>
      </c>
      <c r="C40" t="s">
        <v>875</v>
      </c>
    </row>
    <row r="41" spans="1:3">
      <c r="A41" t="s">
        <v>875</v>
      </c>
      <c r="B41" t="s">
        <v>876</v>
      </c>
      <c r="C41" t="s">
        <v>875</v>
      </c>
    </row>
    <row r="42" spans="1:3" ht="75">
      <c r="A42" t="s">
        <v>875</v>
      </c>
      <c r="B42" s="1" t="str">
        <f>CONCATENATE("[",E4,"]","(",$B$16,E4,")")</f>
        <v>[Business_Analyst](https://pistoiaalliance.github.io/FAIRMaturityMatrix/FAIR_personas/Business_Analyst)</v>
      </c>
      <c r="C42" t="s">
        <v>875</v>
      </c>
    </row>
    <row r="43" spans="1:3">
      <c r="A43" t="s">
        <v>875</v>
      </c>
      <c r="B43" t="str">
        <f t="shared" ref="B43:B49" si="1">CONCATENATE("[",E5,"]","(",$B$16,E5,")")</f>
        <v>[Citized_Data_Scientist](https://pistoiaalliance.github.io/FAIRMaturityMatrix/FAIR_personas/Citized_Data_Scientist)</v>
      </c>
      <c r="C43" t="s">
        <v>875</v>
      </c>
    </row>
    <row r="44" spans="1:3">
      <c r="A44" t="s">
        <v>875</v>
      </c>
      <c r="B44" t="str">
        <f t="shared" si="1"/>
        <v>[Data_Analyst](https://pistoiaalliance.github.io/FAIRMaturityMatrix/FAIR_personas/Data_Analyst)</v>
      </c>
      <c r="C44" t="s">
        <v>875</v>
      </c>
    </row>
    <row r="45" spans="1:3">
      <c r="A45" t="s">
        <v>875</v>
      </c>
      <c r="B45" t="str">
        <f t="shared" si="1"/>
        <v>[Data_Steward](https://pistoiaalliance.github.io/FAIRMaturityMatrix/FAIR_personas/Data_Steward)</v>
      </c>
      <c r="C45" t="s">
        <v>875</v>
      </c>
    </row>
    <row r="46" spans="1:3">
      <c r="A46" t="s">
        <v>875</v>
      </c>
      <c r="B46" t="str">
        <f t="shared" si="1"/>
        <v>[Researcher](https://pistoiaalliance.github.io/FAIRMaturityMatrix/FAIR_personas/Researcher)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FAIR_Trainer</v>
      </c>
    </row>
    <row r="52" spans="1:3">
      <c r="A52" t="str">
        <f>F3</f>
        <v xml:space="preserve">Collaborate with data governance leads, technology leads, data architects, community managers and researcher teams to identify training needs aligned with corporate strategy; design tailored, role-specific training schedules; create high-quality, compliant, and FAIR-aligned learning materials (presentations, manuals, e-learning modules, job aids); deliver  in-person, virtual, and hybrid sessions combining policy awareness with hands-on skills; promote company-approved and community recommended  tools, standards, and workflows; adapt delivery for varied therapeutic areas, modalities, and stages of development (R&amp;D, etc); establish continuous improvement processes through structured feedback and impact measurement. Keep track of FAIR training offering outside of the organisation.
</v>
      </c>
    </row>
    <row r="55" spans="1:3">
      <c r="A55" t="s">
        <v>881</v>
      </c>
      <c r="B55" s="69" t="s">
        <v>882</v>
      </c>
      <c r="C55" t="str">
        <f>$B$3</f>
        <v>FAIR_Trainer</v>
      </c>
    </row>
    <row r="56" spans="1:3">
      <c r="A56" t="s">
        <v>883</v>
      </c>
      <c r="B56" t="s">
        <v>884</v>
      </c>
      <c r="C56" t="str">
        <f>$B$3</f>
        <v>FAIR_Trainer</v>
      </c>
    </row>
    <row r="57" spans="1:3">
      <c r="A57" t="str">
        <f>G4</f>
        <v xml:space="preserve">Issues: The lower the organisation FAIR maturity level, the higher the complexity of the role and the need to create awareness.
Lack of clarity and alignment in terms of needs and requirements from the organisations can be expected.
 At more advanced maturity levels, traning may become diversified and tuned to the needs of differen stakeholders, from business leaders, to researchers, to Data Stewards and Architects.
In a change management process, the value of the training, FAIR and data-centric approach may be challenged.. </v>
      </c>
    </row>
    <row r="58" spans="1:3">
      <c r="A58" t="s">
        <v>883</v>
      </c>
      <c r="B58" t="s">
        <v>885</v>
      </c>
      <c r="C58" t="str">
        <f>$B$3</f>
        <v>FAIR_Trainer</v>
      </c>
    </row>
    <row r="59" spans="1:3">
      <c r="A59" t="str">
        <f>CONCATENATE("Latent ",G5)</f>
        <v>Latent  gains: implementing FAIR principles would reduce these challenges and unlock efficiency, compliance, and reuse.</v>
      </c>
    </row>
    <row r="62" spans="1:3">
      <c r="A62" t="s">
        <v>873</v>
      </c>
      <c r="B62" s="69" t="s">
        <v>886</v>
      </c>
      <c r="C62" t="str">
        <f>$B$3</f>
        <v>FAIR_Trainer</v>
      </c>
    </row>
    <row r="63" spans="1:3">
      <c r="A63" s="69" t="str">
        <f>H3</f>
        <v>FAIR principles provide a strong foundation for trainers to embed best practices in data management and reusability across teams and organizations. By leveraging success stories, FAIR Trainers can effectively articulate the underlying rationale ('why') for FAIR training, fostering greater engagement and commitment. The re-use of FAIR-aligned training materials and the adoption of open standards are facilitated by highlighting real-world examples from FAIR implementation journeys and profiles. With well-defined metrics and frameworks such as FAIR indicators and the FAIR Maturity Model (FAIR MM), Trainers are able to assess both datasets and organizational adherence, offering tangible benchmarks for progress. The impact of training is ultimately heightened through the availability of FAIR-compliant data and implementation examples</v>
      </c>
    </row>
    <row r="64" spans="1:3">
      <c r="B64" s="69"/>
    </row>
    <row r="65" spans="1:2">
      <c r="A65" t="s">
        <v>883</v>
      </c>
      <c r="B65" t="str">
        <f>LEFT(A66,3)</f>
        <v xml:space="preserve">F2 </v>
      </c>
    </row>
    <row r="66" spans="1:2">
      <c r="A66" t="str">
        <f>I4</f>
        <v>F2 provides richly described training datasets for learners</v>
      </c>
    </row>
    <row r="67" spans="1:2">
      <c r="A67" t="s">
        <v>883</v>
      </c>
      <c r="B67" t="str">
        <f>LEFT(A68,3)</f>
        <v xml:space="preserve"> R1</v>
      </c>
    </row>
    <row r="68" spans="1:2">
      <c r="A68" t="str">
        <f>I5</f>
        <v xml:space="preserve"> R1.3 promotes reuse of materials aligned with community standards</v>
      </c>
    </row>
    <row r="69" spans="1:2">
      <c r="A69" t="s">
        <v>883</v>
      </c>
      <c r="B69" t="str">
        <f>LEFT(A70,3)</f>
        <v>0</v>
      </c>
    </row>
    <row r="70" spans="1:2">
      <c r="A70">
        <f>I6</f>
        <v>0</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0003E00A-A88B-432D-B917-D5F5221A84E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35B66D-AED0-44C8-BDFD-B945511526DF}">
          <x14:formula1>
            <xm:f>'2025-Personas-FAIR-cleaned'!$B$3:$B$40</xm:f>
          </x14:formula1>
          <xm:sqref>B3 E5:E12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DC18-D9B1-42AD-904A-F5F86EE690B8}">
  <dimension ref="A1:X90"/>
  <sheetViews>
    <sheetView topLeftCell="A59" workbookViewId="0">
      <selection activeCell="A21" sqref="A21:C74"/>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334</v>
      </c>
      <c r="C3" s="99" t="str">
        <f>_xlfn.XLOOKUP($B3,'2025-Personas-FAIR-cleaned'!$B$3:$B$40,'2025-Personas-FAIR-cleaned'!$D$3:$D$40)</f>
        <v>An individual or group responsible for facilitating and managing a community of practice (CoP). The organizer’s role involves coordinating meetings, events, and activities for the community, creating channels for communication and knowledge sharing, and fostering a supportive and inclusive environment where members feel comfortable exchanging ideas and experiences. They may also be involved in recruiting new members, setting goals and objectives for the community, and ensuring that it remains vibrant and relevant to its members’ needs and interests.
Person who organizes groups of people around shared aims - see https://the-turing-way.netlify.app/collaboration/research-infrastructure-roles/community-manager.html</v>
      </c>
      <c r="D3" s="99" t="str">
        <f>_xlfn.XLOOKUP($B3,'2025-Personas-FAIR-cleaned'!$B$3:$B$40,'2025-Personas-FAIR-cleaned'!$G$3:$G$40)</f>
        <v>Community of Practice Organiser; (FAIR ) Community Lead; FAIR Engagement Manager; FAIR Knowledge Community Lead; FAIR Community Manager</v>
      </c>
      <c r="E3" s="100" t="str">
        <f>_xlfn.XLOOKUP($B3,'2025-Personas-FAIR-cleaned'!$B$3:$B$40,'2025-Personas-FAIR-cleaned'!$H$3:$H$40)</f>
        <v>Business_Leader,Clinical_Data_manager,Data_Steward,Knowledge-Enabled_Citizen,Researcher,Subject_Matter_Expert</v>
      </c>
      <c r="F3" s="99" t="str">
        <f>_xlfn.XLOOKUP($B3,'2025-Personas-FAIR-cleaned'!$B$3:$B$40,'2025-Personas-FAIR-cleaned'!$K$3:$K$40)</f>
        <v>A (FAIR) Community Manager in pharma is responsible for building and nurturing a community of practice (CoP) around FAIR data principles, standards, and best practices. Their  activities include organizing workshops, webinars, and discussion forums; coordinating cross-functional meetings with data stewards, clinical data managers, scientists, and IT teams; and maintaining communication channels such as mailing lists, Slack/Teams channels, or internal portals. They curate and disseminate knowledge, including FAIR guidelines, metadata standards, and interoperability frameworks. Additionally, they track emerging trends in data management and FAIR adoption, and actively recruit new members to ensure the community reflects diverse roles and perspectives within the organization.</v>
      </c>
      <c r="G3" s="99" t="str">
        <f>_xlfn.XLOOKUP($B3,'2025-Personas-FAIR-cleaned'!$B$3:$B$40,'2025-Personas-FAIR-cleaned'!$O$3:$O$40)</f>
        <v>Issues:  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 Latent gains: implementing FAIR principles would reduce these challenges and unlock efficiency, compliance, and reuse.</v>
      </c>
      <c r="H3" s="99" t="str">
        <f>_xlfn.XLOOKUP($B3,'2025-Personas-FAIR-cleaned'!$B$3:$B$40,'2025-Personas-FAIR-cleaned'!$M$3:$M$40)</f>
        <v>FAIR principles provide the FAIR Community Manager with a common framework and language to unite teams around shared data practices. By promoting FAIR-aligned processes—such as standardized metadata, provenance tracking, and controlled vocabularies—the manager enables consistent documentation and reliable data reuse across departments. This supports easier dataset discovery, reduced duplication of effort, and improved cross-study analytics. Clear access protocols and governance ensure that information can be securely shared across teams and regions, fostering trust and collaboration. Through visible success stories and demonstrable value—like faster access to insights and enhanced compliance—the FAIR Community Manager strengthens engagement, accelerates learning, and cultivates a company-wide culture of openness, innovation, and continuous improvement in data management.</v>
      </c>
      <c r="I3" s="99" t="str">
        <f>_xlfn.XLOOKUP($B3,'2025-Personas-FAIR-cleaned'!$B$3:$B$40,'2025-Personas-FAIR-cleaned'!$P$3:$P$40)</f>
        <v>F1 ensures community resources are persistently identified, so members can reliably reference and share them; F2 enriches metadata for community outputs, making them easier to discover and adopt; A1 guarantees accessible communication channels, shared repositories, and training materials; I1 enables interoperability between contributions from different groups, fostering collaboration; R1.3 promotes reuse of outputs that align with community and industry standards, amplifying their impact.</v>
      </c>
      <c r="J3" s="1"/>
      <c r="K3" s="1"/>
      <c r="L3" s="1"/>
      <c r="M3" s="1"/>
      <c r="N3" s="1"/>
      <c r="O3" s="1"/>
      <c r="P3" s="1"/>
      <c r="Q3" s="1"/>
      <c r="R3" s="1"/>
      <c r="S3" s="1"/>
      <c r="T3" s="1"/>
      <c r="U3" s="1"/>
      <c r="V3" s="1"/>
      <c r="W3" s="1"/>
      <c r="X3" s="1"/>
    </row>
    <row r="4" spans="1:24">
      <c r="D4" s="85" t="str" cm="1">
        <f t="array" ref="D4:D8">_xlfn.TEXTSPLIT(D3,,";")</f>
        <v>Community of Practice Organiser</v>
      </c>
      <c r="E4" s="85" t="str" cm="1">
        <f t="array" ref="E4:E9">_xlfn.TEXTSPLIT(E3,,",")</f>
        <v>Business_Leader</v>
      </c>
      <c r="G4" s="85" t="str" cm="1">
        <f t="array" ref="G4:G5">_xlfn.TEXTSPLIT(G3,,"Latent")</f>
        <v xml:space="preserve">Issues:  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 </v>
      </c>
      <c r="I4" s="85" t="str" cm="1">
        <f t="array" ref="I4:I8">_xlfn.TEXTSPLIT(I3,,";")</f>
        <v>F1 ensures community resources are persistently identified, so members can reliably reference and share them</v>
      </c>
    </row>
    <row r="5" spans="1:24">
      <c r="D5" s="85" t="str">
        <v xml:space="preserve"> (FAIR ) Community Lead</v>
      </c>
      <c r="E5" s="97" t="str">
        <v>Clinical_Data_manager</v>
      </c>
      <c r="G5" t="str">
        <v xml:space="preserve"> gains: implementing FAIR principles would reduce these challenges and unlock efficiency, compliance, and reuse.</v>
      </c>
      <c r="I5" t="str">
        <v xml:space="preserve"> F2 enriches metadata for community outputs, making them easier to discover and adopt</v>
      </c>
    </row>
    <row r="6" spans="1:24">
      <c r="D6" s="85" t="str">
        <v xml:space="preserve"> FAIR Engagement Manager</v>
      </c>
      <c r="E6" s="97" t="str">
        <v>Data_Steward</v>
      </c>
      <c r="I6" t="str">
        <v xml:space="preserve"> A1 guarantees accessible communication channels, shared repositories, and training materials</v>
      </c>
    </row>
    <row r="7" spans="1:24">
      <c r="D7" s="85" t="str">
        <v xml:space="preserve"> FAIR Knowledge Community Lead</v>
      </c>
      <c r="E7" s="97" t="str">
        <v>Knowledge-Enabled_Citizen</v>
      </c>
      <c r="I7" t="str">
        <v xml:space="preserve"> I1 enables interoperability between contributions from different groups, fostering collaboration</v>
      </c>
    </row>
    <row r="8" spans="1:24">
      <c r="D8" s="85" t="str">
        <v xml:space="preserve"> FAIR Community Manager</v>
      </c>
      <c r="E8" s="97" t="str">
        <v>Researcher</v>
      </c>
      <c r="I8" t="str">
        <v xml:space="preserve"> R1.3 promotes reuse of outputs that align with community and industry standards, amplifying their impact.</v>
      </c>
    </row>
    <row r="9" spans="1:24">
      <c r="D9" s="85"/>
      <c r="E9" s="97" t="str">
        <v>Subject_Matter_Expert</v>
      </c>
    </row>
    <row r="10" spans="1:24">
      <c r="D10" s="85"/>
      <c r="E10" s="97"/>
    </row>
    <row r="11" spans="1:24">
      <c r="E11" s="97"/>
    </row>
    <row r="12" spans="1:24">
      <c r="E12" s="97"/>
    </row>
    <row r="16" spans="1:24">
      <c r="A16" s="4" t="s">
        <v>868</v>
      </c>
      <c r="B16" s="56" t="s">
        <v>869</v>
      </c>
    </row>
    <row r="17" spans="1:3">
      <c r="A17" s="4" t="s">
        <v>870</v>
      </c>
      <c r="B17" t="str">
        <f>CONCATENATE(B3,".md")</f>
        <v>FAIR_Community_Manager.md</v>
      </c>
    </row>
    <row r="19" spans="1:3" s="94" customFormat="1">
      <c r="A19" s="93" t="s">
        <v>871</v>
      </c>
    </row>
    <row r="21" spans="1:3">
      <c r="A21" t="s">
        <v>872</v>
      </c>
      <c r="B21" t="str">
        <f>B3</f>
        <v>FAIR_Community_Manager</v>
      </c>
    </row>
    <row r="22" spans="1:3">
      <c r="A22" t="str">
        <f>CONCATENATE("[",B3,"]","(",B16,B3,")")</f>
        <v>[FAIR_Community_Manager](https://pistoiaalliance.github.io/FAIRMaturityMatrix/FAIR_personas/FAIR_Community_Manager)</v>
      </c>
    </row>
    <row r="24" spans="1:3">
      <c r="A24" t="s">
        <v>873</v>
      </c>
      <c r="B24" t="s">
        <v>874</v>
      </c>
      <c r="C24" t="str">
        <f>$B$3</f>
        <v>FAIR_Community_Manager</v>
      </c>
    </row>
    <row r="25" spans="1:3" ht="45">
      <c r="A25" t="s">
        <v>875</v>
      </c>
      <c r="B25" s="1" t="str">
        <f>CONCATENATE(B24," ",C24)</f>
        <v>Synonyms of  FAIR_Community_Manager</v>
      </c>
      <c r="C25" t="s">
        <v>875</v>
      </c>
    </row>
    <row r="26" spans="1:3">
      <c r="A26" t="s">
        <v>875</v>
      </c>
      <c r="B26" t="s">
        <v>876</v>
      </c>
      <c r="C26" t="s">
        <v>875</v>
      </c>
    </row>
    <row r="27" spans="1:3">
      <c r="A27" t="s">
        <v>875</v>
      </c>
      <c r="B27" t="str">
        <f t="shared" ref="B27:B33" si="0">D4</f>
        <v>Community of Practice Organiser</v>
      </c>
      <c r="C27" t="s">
        <v>875</v>
      </c>
    </row>
    <row r="28" spans="1:3">
      <c r="A28" t="s">
        <v>875</v>
      </c>
      <c r="B28" t="str">
        <f t="shared" si="0"/>
        <v xml:space="preserve"> (FAIR ) Community Lead</v>
      </c>
      <c r="C28" t="s">
        <v>875</v>
      </c>
    </row>
    <row r="29" spans="1:3">
      <c r="A29" t="s">
        <v>875</v>
      </c>
      <c r="B29" t="str">
        <f t="shared" si="0"/>
        <v xml:space="preserve"> FAIR Engagement Manager</v>
      </c>
      <c r="C29" t="s">
        <v>875</v>
      </c>
    </row>
    <row r="30" spans="1:3">
      <c r="A30" t="s">
        <v>875</v>
      </c>
      <c r="B30" t="str">
        <f t="shared" si="0"/>
        <v xml:space="preserve"> FAIR Knowledge Community Lead</v>
      </c>
      <c r="C30" t="s">
        <v>875</v>
      </c>
    </row>
    <row r="31" spans="1:3">
      <c r="A31" t="s">
        <v>875</v>
      </c>
      <c r="B31" t="str">
        <f t="shared" si="0"/>
        <v xml:space="preserve"> FAIR Community Manager</v>
      </c>
      <c r="C31" t="s">
        <v>875</v>
      </c>
    </row>
    <row r="32" spans="1:3">
      <c r="A32" t="s">
        <v>875</v>
      </c>
      <c r="B32">
        <f t="shared" si="0"/>
        <v>0</v>
      </c>
      <c r="C32" t="s">
        <v>875</v>
      </c>
    </row>
    <row r="33" spans="1:3">
      <c r="A33" t="s">
        <v>875</v>
      </c>
      <c r="B33">
        <f t="shared" si="0"/>
        <v>0</v>
      </c>
      <c r="C33" t="s">
        <v>875</v>
      </c>
    </row>
    <row r="35" spans="1:3">
      <c r="A35" t="s">
        <v>873</v>
      </c>
      <c r="B35" t="s">
        <v>877</v>
      </c>
      <c r="C35" t="str">
        <f>$B$3</f>
        <v>FAIR_Community_Manager</v>
      </c>
    </row>
    <row r="36" spans="1:3">
      <c r="A36" t="str">
        <f>C3</f>
        <v>An individual or group responsible for facilitating and managing a community of practice (CoP). The organizer’s role involves coordinating meetings, events, and activities for the community, creating channels for communication and knowledge sharing, and fostering a supportive and inclusive environment where members feel comfortable exchanging ideas and experiences. They may also be involved in recruiting new members, setting goals and objectives for the community, and ensuring that it remains vibrant and relevant to its members’ needs and interests.
Person who organizes groups of people around shared aims - see https://the-turing-way.netlify.app/collaboration/research-infrastructure-roles/community-manager.html</v>
      </c>
    </row>
    <row r="39" spans="1:3">
      <c r="A39" s="69" t="s">
        <v>878</v>
      </c>
      <c r="B39" t="s">
        <v>879</v>
      </c>
      <c r="C39" t="str">
        <f>$B$3</f>
        <v>FAIR_Community_Manager</v>
      </c>
    </row>
    <row r="40" spans="1:3" ht="60">
      <c r="A40" t="s">
        <v>875</v>
      </c>
      <c r="B40" s="1" t="str">
        <f>CONCATENATE(B39," ",C39)</f>
        <v>FAIR persona related to  FAIR_Community_Manager</v>
      </c>
      <c r="C40" t="s">
        <v>875</v>
      </c>
    </row>
    <row r="41" spans="1:3">
      <c r="A41" t="s">
        <v>875</v>
      </c>
      <c r="B41" t="s">
        <v>876</v>
      </c>
      <c r="C41" t="s">
        <v>875</v>
      </c>
    </row>
    <row r="42" spans="1:3" ht="75">
      <c r="A42" t="s">
        <v>875</v>
      </c>
      <c r="B42" s="1" t="str">
        <f>CONCATENATE("[",E4,"]","(",$B$16,E4,")")</f>
        <v>[Business_Leader](https://pistoiaalliance.github.io/FAIRMaturityMatrix/FAIR_personas/Business_Leader)</v>
      </c>
      <c r="C42" t="s">
        <v>875</v>
      </c>
    </row>
    <row r="43" spans="1:3">
      <c r="A43" t="s">
        <v>875</v>
      </c>
      <c r="B43" t="str">
        <f t="shared" ref="B43:B49" si="1">CONCATENATE("[",E5,"]","(",$B$16,E5,")")</f>
        <v>[Clinical_Data_manager](https://pistoiaalliance.github.io/FAIRMaturityMatrix/FAIR_personas/Clinical_Data_manager)</v>
      </c>
      <c r="C43" t="s">
        <v>875</v>
      </c>
    </row>
    <row r="44" spans="1:3">
      <c r="A44" t="s">
        <v>875</v>
      </c>
      <c r="B44" t="str">
        <f t="shared" si="1"/>
        <v>[Data_Steward](https://pistoiaalliance.github.io/FAIRMaturityMatrix/FAIR_personas/Data_Steward)</v>
      </c>
      <c r="C44" t="s">
        <v>875</v>
      </c>
    </row>
    <row r="45" spans="1:3">
      <c r="A45" t="s">
        <v>875</v>
      </c>
      <c r="B45" t="str">
        <f t="shared" si="1"/>
        <v>[Knowledge-Enabled_Citizen](https://pistoiaalliance.github.io/FAIRMaturityMatrix/FAIR_personas/Knowledge-Enabled_Citizen)</v>
      </c>
      <c r="C45" t="s">
        <v>875</v>
      </c>
    </row>
    <row r="46" spans="1:3">
      <c r="A46" t="s">
        <v>875</v>
      </c>
      <c r="B46" t="str">
        <f t="shared" si="1"/>
        <v>[Researcher](https://pistoiaalliance.github.io/FAIRMaturityMatrix/FAIR_personas/Researcher)</v>
      </c>
      <c r="C46" t="s">
        <v>875</v>
      </c>
    </row>
    <row r="47" spans="1:3">
      <c r="A47" t="s">
        <v>875</v>
      </c>
      <c r="B47" t="str">
        <f t="shared" si="1"/>
        <v>[Subject_Matter_Expert](https://pistoiaalliance.github.io/FAIRMaturityMatrix/FAIR_personas/Subject_Matter_Expert)</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FAIR_Community_Manager</v>
      </c>
    </row>
    <row r="52" spans="1:3">
      <c r="A52" t="str">
        <f>F3</f>
        <v>A (FAIR) Community Manager in pharma is responsible for building and nurturing a community of practice (CoP) around FAIR data principles, standards, and best practices. Their  activities include organizing workshops, webinars, and discussion forums; coordinating cross-functional meetings with data stewards, clinical data managers, scientists, and IT teams; and maintaining communication channels such as mailing lists, Slack/Teams channels, or internal portals. They curate and disseminate knowledge, including FAIR guidelines, metadata standards, and interoperability frameworks. Additionally, they track emerging trends in data management and FAIR adoption, and actively recruit new members to ensure the community reflects diverse roles and perspectives within the organization.</v>
      </c>
    </row>
    <row r="55" spans="1:3">
      <c r="A55" t="s">
        <v>881</v>
      </c>
      <c r="B55" s="69" t="s">
        <v>882</v>
      </c>
      <c r="C55" t="str">
        <f>$B$3</f>
        <v>FAIR_Community_Manager</v>
      </c>
    </row>
    <row r="56" spans="1:3">
      <c r="A56" t="s">
        <v>883</v>
      </c>
      <c r="B56" t="s">
        <v>884</v>
      </c>
      <c r="C56" t="str">
        <f>$B$3</f>
        <v>FAIR_Community_Manager</v>
      </c>
    </row>
    <row r="57" spans="1:3">
      <c r="A57" t="str">
        <f>G4</f>
        <v xml:space="preserve">Issues:  The FAIR Community Manager faces challenges in aligning stakeholders from different departments and skill levels around common FAIR objectives. Large pharma environments often have siloed data systems, heterogeneous standards, and varying levels of FAIR awareness, making it difficult to foster meaningful engagement and knowledge sharing. Capturing and disseminating lessons learned, best practices, and metadata standards in a way that is accessible, actionable, and trusted by the community can also be complex. Moreover, demonstrating the tangible value of FAIR adoption to senior management and ensuring consistent participation across global teams requires both diplomacy and strategic planning.. </v>
      </c>
    </row>
    <row r="58" spans="1:3">
      <c r="A58" t="s">
        <v>883</v>
      </c>
      <c r="B58" t="s">
        <v>885</v>
      </c>
      <c r="C58" t="str">
        <f>$B$3</f>
        <v>FAIR_Community_Manager</v>
      </c>
    </row>
    <row r="59" spans="1:3">
      <c r="A59" t="str">
        <f>CONCATENATE("Latent ",G5)</f>
        <v>Latent  gains: implementing FAIR principles would reduce these challenges and unlock efficiency, compliance, and reuse.</v>
      </c>
    </row>
    <row r="62" spans="1:3">
      <c r="A62" t="s">
        <v>873</v>
      </c>
      <c r="B62" s="69" t="s">
        <v>886</v>
      </c>
      <c r="C62" t="str">
        <f>$B$3</f>
        <v>FAIR_Community_Manager</v>
      </c>
    </row>
    <row r="63" spans="1:3">
      <c r="A63" s="69" t="str">
        <f>H3</f>
        <v>FAIR principles provide the FAIR Community Manager with a common framework and language to unite teams around shared data practices. By promoting FAIR-aligned processes—such as standardized metadata, provenance tracking, and controlled vocabularies—the manager enables consistent documentation and reliable data reuse across departments. This supports easier dataset discovery, reduced duplication of effort, and improved cross-study analytics. Clear access protocols and governance ensure that information can be securely shared across teams and regions, fostering trust and collaboration. Through visible success stories and demonstrable value—like faster access to insights and enhanced compliance—the FAIR Community Manager strengthens engagement, accelerates learning, and cultivates a company-wide culture of openness, innovation, and continuous improvement in data management.</v>
      </c>
    </row>
    <row r="64" spans="1:3">
      <c r="B64" s="69"/>
    </row>
    <row r="65" spans="1:2">
      <c r="A65" t="s">
        <v>883</v>
      </c>
      <c r="B65" t="str">
        <f>LEFT(A66,3)</f>
        <v xml:space="preserve">F1 </v>
      </c>
    </row>
    <row r="66" spans="1:2">
      <c r="A66" t="str">
        <f>I4</f>
        <v>F1 ensures community resources are persistently identified, so members can reliably reference and share them</v>
      </c>
    </row>
    <row r="67" spans="1:2">
      <c r="A67" t="s">
        <v>883</v>
      </c>
      <c r="B67" t="str">
        <f>LEFT(A68,3)</f>
        <v xml:space="preserve"> F2</v>
      </c>
    </row>
    <row r="68" spans="1:2">
      <c r="A68" t="str">
        <f>I5</f>
        <v xml:space="preserve"> F2 enriches metadata for community outputs, making them easier to discover and adopt</v>
      </c>
    </row>
    <row r="69" spans="1:2">
      <c r="A69" t="s">
        <v>883</v>
      </c>
      <c r="B69" t="str">
        <f>LEFT(A70,3)</f>
        <v xml:space="preserve"> A1</v>
      </c>
    </row>
    <row r="70" spans="1:2">
      <c r="A70" t="str">
        <f>I6</f>
        <v xml:space="preserve"> A1 guarantees accessible communication channels, shared repositories, and training materials</v>
      </c>
    </row>
    <row r="71" spans="1:2">
      <c r="A71" t="s">
        <v>883</v>
      </c>
      <c r="B71" t="str">
        <f>LEFT(A72,3)</f>
        <v xml:space="preserve"> I1</v>
      </c>
    </row>
    <row r="72" spans="1:2">
      <c r="A72" t="str">
        <f>I7</f>
        <v xml:space="preserve"> I1 enables interoperability between contributions from different groups, fostering collaboration</v>
      </c>
    </row>
    <row r="73" spans="1:2">
      <c r="A73" t="s">
        <v>883</v>
      </c>
      <c r="B73" t="str">
        <f>LEFT(A74,3)</f>
        <v xml:space="preserve"> R1</v>
      </c>
    </row>
    <row r="74" spans="1:2">
      <c r="A74" t="str">
        <f>I8</f>
        <v xml:space="preserve"> R1.3 promotes reuse of outputs that align with community and industry standards, amplifying their impact.</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1F3D2E48-9394-4758-9DED-58D93A9D8D8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971932-F126-419A-A322-495AFD5DF7A2}">
          <x14:formula1>
            <xm:f>'2025-Personas-FAIR-cleaned'!$B$3:$B$40</xm:f>
          </x14:formula1>
          <xm:sqref>B3 E5:E12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CFE5-732F-4165-9908-AB939F4A82FB}">
  <dimension ref="A1:X90"/>
  <sheetViews>
    <sheetView workbookViewId="0">
      <selection activeCell="B5" sqref="B5"/>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520</v>
      </c>
      <c r="B3" s="98" t="s">
        <v>521</v>
      </c>
      <c r="C3" s="99" t="str">
        <f>_xlfn.XLOOKUP($B3,'2025-Personas-FAIR-cleaned'!$B$3:$B$40,'2025-Personas-FAIR-cleaned'!$D$3:$D$40)</f>
        <v>This role emerges  in organizations with high FAIR maturity (levels 4–5) and broad, well-curated data ecosystems, where interoperable, reusable data products are fully embedded into daily operations. Highly educated domain expert empowered by FAIR data products (e.g. query services, knowledge graphs) to find information in complex (FAIR) data sets daily decisions. Organization member who is empowered with access to information, possesses critical thinking skills, enabling them to contribute effectively to the organization’s goals and objectives.</v>
      </c>
      <c r="D3" s="99" t="str">
        <f>_xlfn.XLOOKUP($B3,'2025-Personas-FAIR-cleaned'!$B$3:$B$40,'2025-Personas-FAIR-cleaned'!$G$3:$G$40)</f>
        <v xml:space="preserve"> Data Consumer; Intelligence Consumer;  Leader;  Manager; Business Owner; </v>
      </c>
      <c r="E3" s="100" t="str">
        <f>_xlfn.XLOOKUP($B3,'2025-Personas-FAIR-cleaned'!$B$3:$B$40,'2025-Personas-FAIR-cleaned'!$H$3:$H$40)</f>
        <v>Business_Leader,Technology_leader,Business_Analyst,Data_Steward,Researcher</v>
      </c>
      <c r="F3" s="99" t="str">
        <f>_xlfn.XLOOKUP($B3,'2025-Personas-FAIR-cleaned'!$B$3:$B$40,'2025-Personas-FAIR-cleaned'!$K$3:$K$40)</f>
        <v>A Knowledge-Enabled Citizen leverages interoperable data assets and advanced analytical services—such as AI-assisted tools and provenance-linked, machine-interpretable datasets—to explore, validate, and apply information in their domain.
These individuals are empowered by transparent access to high-quality data and possess the critical thinking skills needed to translate insights into meaningful contributions toward the organization’s goals. This role typically emerges within organizations operating at FAIR maturity levels 4–5, where data ecosystems are integrated, standardized, and intelligence-driven.</v>
      </c>
      <c r="G3" s="99" t="str">
        <f>_xlfn.XLOOKUP($B3,'2025-Personas-FAIR-cleaned'!$B$3:$B$40,'2025-Personas-FAIR-cleaned'!$O$3:$O$40)</f>
        <v xml:space="preserve">NB: the issues and latent gains are assumed to be largely reduced at high level of FAIR maturity in which this persona emerges. They are reminded for completeness:
Issues: data fragmentation across silos and systems; inconsistent metadata and ontologies; limited discoverability of legacy data; unclear or inconsistent regulatory documentation; high duplication of experiments; delayed project timelines due to inefficient data retrieval. 
Latent gains: clear demonstration of value in standardising processes; opportunities to reduce operational inefficiencies; stronger case for investing in data governance infrastructure; ability to highlight competitive advantage from improved data reusability.
</v>
      </c>
      <c r="H3" s="99" t="str">
        <f>_xlfn.XLOOKUP($B3,'2025-Personas-FAIR-cleaned'!$B$3:$B$40,'2025-Personas-FAIR-cleaned'!$M$3:$M$40)</f>
        <v xml:space="preserve"> Knowledge-Enabled Citizen can independently access and apply information to drive insight, innovation, and informed decision-making.  FAIR benefits include: improved efficiency through fast, reliable access to high-quality, FAIR-aligned data; enhanced regulatory compliance through standardized documentation and transparent provenance; consistent metadata and shared ontologies enabling seamless cross-project and cross-domain data integration; and better utilization of historical, experimental, and real-world data to inform evidence-based decisions. FAIR principles also foster stronger collaboration across research, clinical, and regulatory functions and accelerate innovation through streamlined knowledge discovery and sharing between internal teams and external partners.</v>
      </c>
      <c r="I3" s="99" t="str">
        <f>_xlfn.XLOOKUP($B3,'2025-Personas-FAIR-cleaned'!$B$3:$B$40,'2025-Personas-FAIR-cleaned'!$P$3:$P$40)</f>
        <v>F1 ensures that datasets and knowledge objects they use are persistently identified, avoiding ambiguity in scientific or technical references; F2 provides rich metadata that gives necessary context for non-data specialists to assess quality and applicability; A1 guarantees seamless access to the data and knowledge products they rely on, without technical barriers; I1 enables integration of cross-domain knowledge into their specialized research area; R1.3 promotes reuse of trusted community standards, helping them apply external datasets confidently in their own domain.</v>
      </c>
      <c r="J3" s="1"/>
      <c r="K3" s="1"/>
      <c r="L3" s="1"/>
      <c r="M3" s="1"/>
      <c r="N3" s="1"/>
      <c r="O3" s="1"/>
      <c r="P3" s="1"/>
      <c r="Q3" s="1"/>
      <c r="R3" s="1"/>
      <c r="S3" s="1"/>
      <c r="T3" s="1"/>
      <c r="U3" s="1"/>
      <c r="V3" s="1"/>
      <c r="W3" s="1"/>
      <c r="X3" s="1"/>
    </row>
    <row r="4" spans="1:24">
      <c r="D4" s="85" t="str" cm="1">
        <f t="array" ref="D4:D9">_xlfn.TEXTSPLIT(D3,,";")</f>
        <v xml:space="preserve"> Data Consumer</v>
      </c>
      <c r="E4" s="85" t="str" cm="1">
        <f t="array" ref="E4:E8">_xlfn.TEXTSPLIT(E3,,",")</f>
        <v>Business_Leader</v>
      </c>
      <c r="G4" s="85" t="str" cm="1">
        <f t="array" ref="G4:G5">_xlfn.TEXTSPLIT(G3,,"Latent")</f>
        <v xml:space="preserve">NB: the issues and latent gains are assumed to be largely reduced at high level of FAIR maturity in which this persona emerges. They are reminded for completeness:
Issues: data fragmentation across silos and systems; inconsistent metadata and ontologies; limited discoverability of legacy data; unclear or inconsistent regulatory documentation; high duplication of experiments; delayed project timelines due to inefficient data retrieval. 
</v>
      </c>
      <c r="I4" s="85" t="str" cm="1">
        <f t="array" ref="I4:I8">_xlfn.TEXTSPLIT(I3,,";")</f>
        <v>F1 ensures that datasets and knowledge objects they use are persistently identified, avoiding ambiguity in scientific or technical references</v>
      </c>
    </row>
    <row r="5" spans="1:24">
      <c r="D5" s="85" t="str">
        <v xml:space="preserve"> Intelligence Consumer</v>
      </c>
      <c r="E5" s="97" t="str">
        <v>Technology_leader</v>
      </c>
      <c r="G5" t="str">
        <v xml:space="preserve"> gains: clear demonstration of value in standardising processes; opportunities to reduce operational inefficiencies; stronger case for investing in data governance infrastructure; ability to highlight competitive advantage from improved data reusability.
</v>
      </c>
      <c r="I5" t="str">
        <v xml:space="preserve"> F2 provides rich metadata that gives necessary context for non-data specialists to assess quality and applicability</v>
      </c>
    </row>
    <row r="6" spans="1:24">
      <c r="D6" s="85" t="str">
        <v xml:space="preserve">  Leader</v>
      </c>
      <c r="E6" s="97" t="str">
        <v>Business_Analyst</v>
      </c>
      <c r="I6" t="str">
        <v xml:space="preserve"> A1 guarantees seamless access to the data and knowledge products they rely on, without technical barriers</v>
      </c>
    </row>
    <row r="7" spans="1:24">
      <c r="D7" s="85" t="str">
        <v xml:space="preserve">  Manager</v>
      </c>
      <c r="E7" s="97" t="str">
        <v>Data_Steward</v>
      </c>
      <c r="I7" t="str">
        <v xml:space="preserve"> I1 enables integration of cross-domain knowledge into their specialized research area</v>
      </c>
    </row>
    <row r="8" spans="1:24">
      <c r="D8" s="85" t="str">
        <v xml:space="preserve"> Business Owner</v>
      </c>
      <c r="E8" s="97" t="str">
        <v>Researcher</v>
      </c>
      <c r="I8" t="str">
        <v xml:space="preserve"> R1.3 promotes reuse of trusted community standards, helping them apply external datasets confidently in their own domain.</v>
      </c>
    </row>
    <row r="9" spans="1:24">
      <c r="D9" s="85" t="str">
        <v xml:space="preserve"> </v>
      </c>
      <c r="E9" s="97" t="s">
        <v>251</v>
      </c>
    </row>
    <row r="10" spans="1:24">
      <c r="D10" s="85"/>
      <c r="E10" s="97" t="s">
        <v>533</v>
      </c>
    </row>
    <row r="11" spans="1:24">
      <c r="E11" s="97" t="s">
        <v>238</v>
      </c>
    </row>
    <row r="12" spans="1:24">
      <c r="E12" s="97"/>
    </row>
    <row r="13" spans="1:24">
      <c r="F13" s="97"/>
    </row>
    <row r="14" spans="1:24">
      <c r="F14" s="97"/>
    </row>
    <row r="15" spans="1:24">
      <c r="F15" s="97"/>
    </row>
    <row r="16" spans="1:24">
      <c r="A16" s="4" t="s">
        <v>868</v>
      </c>
      <c r="B16" s="56" t="s">
        <v>869</v>
      </c>
      <c r="F16" s="97"/>
    </row>
    <row r="17" spans="1:6">
      <c r="A17" s="4" t="s">
        <v>870</v>
      </c>
      <c r="B17" t="str">
        <f>CONCATENATE(B3,".md")</f>
        <v>Knowledge-Enabled_Citizen.md</v>
      </c>
      <c r="F17" s="97"/>
    </row>
    <row r="19" spans="1:6" s="94" customFormat="1">
      <c r="A19" s="93" t="s">
        <v>871</v>
      </c>
    </row>
    <row r="21" spans="1:6">
      <c r="A21" t="s">
        <v>872</v>
      </c>
      <c r="B21" t="str">
        <f>B3</f>
        <v>Knowledge-Enabled_Citizen</v>
      </c>
    </row>
    <row r="22" spans="1:6">
      <c r="A22" t="str">
        <f>CONCATENATE("[",B3,"]","(",B16,B3,")")</f>
        <v>[Knowledge-Enabled_Citizen](https://pistoiaalliance.github.io/FAIRMaturityMatrix/FAIR_personas/Knowledge-Enabled_Citizen)</v>
      </c>
    </row>
    <row r="24" spans="1:6">
      <c r="A24" t="s">
        <v>873</v>
      </c>
      <c r="B24" t="s">
        <v>874</v>
      </c>
      <c r="C24" t="str">
        <f>$B$3</f>
        <v>Knowledge-Enabled_Citizen</v>
      </c>
    </row>
    <row r="25" spans="1:6" ht="45">
      <c r="A25" t="s">
        <v>875</v>
      </c>
      <c r="B25" s="1" t="str">
        <f>CONCATENATE(B24," ",C24)</f>
        <v>Synonyms of  Knowledge-Enabled_Citizen</v>
      </c>
      <c r="C25" t="s">
        <v>875</v>
      </c>
    </row>
    <row r="26" spans="1:6">
      <c r="A26" t="s">
        <v>875</v>
      </c>
      <c r="B26" t="s">
        <v>876</v>
      </c>
      <c r="C26" t="s">
        <v>875</v>
      </c>
    </row>
    <row r="27" spans="1:6">
      <c r="A27" t="s">
        <v>875</v>
      </c>
      <c r="B27" t="str">
        <f t="shared" ref="B27:B33" si="0">D4</f>
        <v xml:space="preserve"> Data Consumer</v>
      </c>
      <c r="C27" t="s">
        <v>875</v>
      </c>
    </row>
    <row r="28" spans="1:6">
      <c r="A28" t="s">
        <v>875</v>
      </c>
      <c r="B28" t="str">
        <f t="shared" si="0"/>
        <v xml:space="preserve"> Intelligence Consumer</v>
      </c>
      <c r="C28" t="s">
        <v>875</v>
      </c>
    </row>
    <row r="29" spans="1:6">
      <c r="A29" t="s">
        <v>875</v>
      </c>
      <c r="B29" t="str">
        <f t="shared" si="0"/>
        <v xml:space="preserve">  Leader</v>
      </c>
      <c r="C29" t="s">
        <v>875</v>
      </c>
    </row>
    <row r="30" spans="1:6">
      <c r="A30" t="s">
        <v>875</v>
      </c>
      <c r="B30" t="str">
        <f t="shared" si="0"/>
        <v xml:space="preserve">  Manager</v>
      </c>
      <c r="C30" t="s">
        <v>875</v>
      </c>
    </row>
    <row r="31" spans="1:6">
      <c r="A31" t="s">
        <v>875</v>
      </c>
      <c r="B31" t="str">
        <f t="shared" si="0"/>
        <v xml:space="preserve"> Business Owner</v>
      </c>
      <c r="C31" t="s">
        <v>875</v>
      </c>
    </row>
    <row r="32" spans="1:6">
      <c r="A32" t="s">
        <v>875</v>
      </c>
      <c r="B32" t="str">
        <f t="shared" si="0"/>
        <v xml:space="preserve"> </v>
      </c>
      <c r="C32" t="s">
        <v>875</v>
      </c>
    </row>
    <row r="33" spans="1:3">
      <c r="A33" t="s">
        <v>875</v>
      </c>
      <c r="B33">
        <f t="shared" si="0"/>
        <v>0</v>
      </c>
      <c r="C33" t="s">
        <v>875</v>
      </c>
    </row>
    <row r="35" spans="1:3">
      <c r="A35" t="s">
        <v>873</v>
      </c>
      <c r="B35" t="s">
        <v>877</v>
      </c>
      <c r="C35" t="str">
        <f>$B$3</f>
        <v>Knowledge-Enabled_Citizen</v>
      </c>
    </row>
    <row r="36" spans="1:3">
      <c r="A36" t="str">
        <f>C3</f>
        <v>This role emerges  in organizations with high FAIR maturity (levels 4–5) and broad, well-curated data ecosystems, where interoperable, reusable data products are fully embedded into daily operations. Highly educated domain expert empowered by FAIR data products (e.g. query services, knowledge graphs) to find information in complex (FAIR) data sets daily decisions. Organization member who is empowered with access to information, possesses critical thinking skills, enabling them to contribute effectively to the organization’s goals and objectives.</v>
      </c>
    </row>
    <row r="39" spans="1:3">
      <c r="A39" s="69" t="s">
        <v>878</v>
      </c>
      <c r="B39" t="s">
        <v>879</v>
      </c>
      <c r="C39" t="str">
        <f>$B$3</f>
        <v>Knowledge-Enabled_Citizen</v>
      </c>
    </row>
    <row r="40" spans="1:3" ht="45">
      <c r="A40" t="s">
        <v>875</v>
      </c>
      <c r="B40" s="1" t="str">
        <f>CONCATENATE(B39," ",C39)</f>
        <v>FAIR persona related to  Knowledge-Enabled_Citizen</v>
      </c>
      <c r="C40" t="s">
        <v>875</v>
      </c>
    </row>
    <row r="41" spans="1:3">
      <c r="A41" t="s">
        <v>875</v>
      </c>
      <c r="B41" t="s">
        <v>876</v>
      </c>
      <c r="C41" t="s">
        <v>875</v>
      </c>
    </row>
    <row r="42" spans="1:3" ht="75">
      <c r="A42" t="s">
        <v>875</v>
      </c>
      <c r="B42" s="1" t="str">
        <f>CONCATENATE("[",E4,"]","(",$B$16,E4,")")</f>
        <v>[Business_Leader](https://pistoiaalliance.github.io/FAIRMaturityMatrix/FAIR_personas/Business_Leader)</v>
      </c>
      <c r="C42" t="s">
        <v>875</v>
      </c>
    </row>
    <row r="43" spans="1:3">
      <c r="A43" t="s">
        <v>875</v>
      </c>
      <c r="B43" t="str">
        <f t="shared" ref="B43:B49" si="1">CONCATENATE("[",E5,"]","(",$B$16,E5,")")</f>
        <v>[Technology_leader](https://pistoiaalliance.github.io/FAIRMaturityMatrix/FAIR_personas/Technology_leader)</v>
      </c>
      <c r="C43" t="s">
        <v>875</v>
      </c>
    </row>
    <row r="44" spans="1:3">
      <c r="A44" t="s">
        <v>875</v>
      </c>
      <c r="B44" t="str">
        <f t="shared" si="1"/>
        <v>[Business_Analyst](https://pistoiaalliance.github.io/FAIRMaturityMatrix/FAIR_personas/Business_Analyst)</v>
      </c>
      <c r="C44" t="s">
        <v>875</v>
      </c>
    </row>
    <row r="45" spans="1:3">
      <c r="A45" t="s">
        <v>875</v>
      </c>
      <c r="B45" t="str">
        <f t="shared" si="1"/>
        <v>[Data_Steward](https://pistoiaalliance.github.io/FAIRMaturityMatrix/FAIR_personas/Data_Steward)</v>
      </c>
      <c r="C45" t="s">
        <v>875</v>
      </c>
    </row>
    <row r="46" spans="1:3">
      <c r="A46" t="s">
        <v>875</v>
      </c>
      <c r="B46" t="str">
        <f t="shared" si="1"/>
        <v>[Researcher](https://pistoiaalliance.github.io/FAIRMaturityMatrix/FAIR_personas/Researcher)</v>
      </c>
      <c r="C46" t="s">
        <v>875</v>
      </c>
    </row>
    <row r="47" spans="1:3">
      <c r="A47" t="s">
        <v>875</v>
      </c>
      <c r="B47" t="str">
        <f t="shared" si="1"/>
        <v>[Data_Owner](https://pistoiaalliance.github.io/FAIRMaturityMatrix/FAIR_personas/Data_Owner)</v>
      </c>
      <c r="C47" t="s">
        <v>875</v>
      </c>
    </row>
    <row r="48" spans="1:3">
      <c r="A48" t="s">
        <v>875</v>
      </c>
      <c r="B48" t="str">
        <f t="shared" si="1"/>
        <v>[Legal_Data_Expert](https://pistoiaalliance.github.io/FAIRMaturityMatrix/FAIR_personas/Legal_Data_Expert)</v>
      </c>
      <c r="C48" t="s">
        <v>875</v>
      </c>
    </row>
    <row r="49" spans="1:3">
      <c r="A49" t="s">
        <v>875</v>
      </c>
      <c r="B49" t="str">
        <f t="shared" si="1"/>
        <v>[Data_Analyst](https://pistoiaalliance.github.io/FAIRMaturityMatrix/FAIR_personas/Data_Analyst)</v>
      </c>
      <c r="C49" t="s">
        <v>875</v>
      </c>
    </row>
    <row r="51" spans="1:3">
      <c r="A51" s="69" t="s">
        <v>878</v>
      </c>
      <c r="B51" t="s">
        <v>880</v>
      </c>
      <c r="C51" t="str">
        <f>$B$3</f>
        <v>Knowledge-Enabled_Citizen</v>
      </c>
    </row>
    <row r="52" spans="1:3">
      <c r="A52" t="str">
        <f>F3</f>
        <v>A Knowledge-Enabled Citizen leverages interoperable data assets and advanced analytical services—such as AI-assisted tools and provenance-linked, machine-interpretable datasets—to explore, validate, and apply information in their domain.
These individuals are empowered by transparent access to high-quality data and possess the critical thinking skills needed to translate insights into meaningful contributions toward the organization’s goals. This role typically emerges within organizations operating at FAIR maturity levels 4–5, where data ecosystems are integrated, standardized, and intelligence-driven.</v>
      </c>
    </row>
    <row r="55" spans="1:3">
      <c r="A55" t="s">
        <v>881</v>
      </c>
      <c r="B55" s="69" t="s">
        <v>882</v>
      </c>
      <c r="C55" t="str">
        <f>$B$3</f>
        <v>Knowledge-Enabled_Citizen</v>
      </c>
    </row>
    <row r="56" spans="1:3">
      <c r="A56" t="s">
        <v>883</v>
      </c>
      <c r="B56" t="s">
        <v>884</v>
      </c>
      <c r="C56" t="str">
        <f>$B$3</f>
        <v>Knowledge-Enabled_Citizen</v>
      </c>
    </row>
    <row r="57" spans="1:3">
      <c r="A57" t="str">
        <f>G4</f>
        <v xml:space="preserve">NB: the issues and latent gains are assumed to be largely reduced at high level of FAIR maturity in which this persona emerges. They are reminded for completeness:
Issues: data fragmentation across silos and systems; inconsistent metadata and ontologies; limited discoverability of legacy data; unclear or inconsistent regulatory documentation; high duplication of experiments; delayed project timelines due to inefficient data retrieval. 
</v>
      </c>
    </row>
    <row r="58" spans="1:3">
      <c r="A58" t="s">
        <v>883</v>
      </c>
      <c r="B58" t="s">
        <v>885</v>
      </c>
      <c r="C58" t="str">
        <f>$B$3</f>
        <v>Knowledge-Enabled_Citizen</v>
      </c>
    </row>
    <row r="59" spans="1:3">
      <c r="A59" t="str">
        <f>CONCATENATE("Latent ",G5)</f>
        <v xml:space="preserve">Latent  gains: clear demonstration of value in standardising processes; opportunities to reduce operational inefficiencies; stronger case for investing in data governance infrastructure; ability to highlight competitive advantage from improved data reusability.
</v>
      </c>
    </row>
    <row r="62" spans="1:3">
      <c r="A62" t="s">
        <v>873</v>
      </c>
      <c r="B62" s="69" t="s">
        <v>886</v>
      </c>
      <c r="C62" t="str">
        <f>$B$3</f>
        <v>Knowledge-Enabled_Citizen</v>
      </c>
    </row>
    <row r="63" spans="1:3">
      <c r="A63" s="69" t="str">
        <f>H3</f>
        <v xml:space="preserve"> Knowledge-Enabled Citizen can independently access and apply information to drive insight, innovation, and informed decision-making.  FAIR benefits include: improved efficiency through fast, reliable access to high-quality, FAIR-aligned data; enhanced regulatory compliance through standardized documentation and transparent provenance; consistent metadata and shared ontologies enabling seamless cross-project and cross-domain data integration; and better utilization of historical, experimental, and real-world data to inform evidence-based decisions. FAIR principles also foster stronger collaboration across research, clinical, and regulatory functions and accelerate innovation through streamlined knowledge discovery and sharing between internal teams and external partners.</v>
      </c>
    </row>
    <row r="64" spans="1:3">
      <c r="B64" s="69"/>
    </row>
    <row r="65" spans="1:2">
      <c r="A65" t="s">
        <v>883</v>
      </c>
      <c r="B65" t="str">
        <f>LEFT(A66,3)</f>
        <v xml:space="preserve">F1 </v>
      </c>
    </row>
    <row r="66" spans="1:2">
      <c r="A66" t="str">
        <f>I4</f>
        <v>F1 ensures that datasets and knowledge objects they use are persistently identified, avoiding ambiguity in scientific or technical references</v>
      </c>
    </row>
    <row r="67" spans="1:2">
      <c r="A67" t="s">
        <v>883</v>
      </c>
      <c r="B67" t="str">
        <f>LEFT(A68,3)</f>
        <v xml:space="preserve"> F2</v>
      </c>
    </row>
    <row r="68" spans="1:2">
      <c r="A68" t="str">
        <f>I5</f>
        <v xml:space="preserve"> F2 provides rich metadata that gives necessary context for non-data specialists to assess quality and applicability</v>
      </c>
    </row>
    <row r="69" spans="1:2">
      <c r="A69" t="s">
        <v>883</v>
      </c>
      <c r="B69" t="str">
        <f>LEFT(A70,3)</f>
        <v xml:space="preserve"> A1</v>
      </c>
    </row>
    <row r="70" spans="1:2">
      <c r="A70" t="str">
        <f>I6</f>
        <v xml:space="preserve"> A1 guarantees seamless access to the data and knowledge products they rely on, without technical barriers</v>
      </c>
    </row>
    <row r="71" spans="1:2">
      <c r="A71" t="s">
        <v>883</v>
      </c>
      <c r="B71" t="str">
        <f>LEFT(A72,3)</f>
        <v xml:space="preserve"> I1</v>
      </c>
    </row>
    <row r="72" spans="1:2">
      <c r="A72" t="str">
        <f>I7</f>
        <v xml:space="preserve"> I1 enables integration of cross-domain knowledge into their specialized research area</v>
      </c>
    </row>
    <row r="73" spans="1:2">
      <c r="A73" t="s">
        <v>883</v>
      </c>
      <c r="B73" t="str">
        <f>LEFT(A74,3)</f>
        <v xml:space="preserve"> R1</v>
      </c>
    </row>
    <row r="74" spans="1:2">
      <c r="A74" t="str">
        <f>I8</f>
        <v xml:space="preserve"> R1.3 promotes reuse of trusted community standards, helping them apply external datasets confidently in their own domain.</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C4EDC8AB-0A30-4C86-B49E-94E308C2C0AE}"/>
    <hyperlink ref="A3" r:id="rId2" xr:uid="{75579AEC-981C-413A-ACFF-28C342A8A6B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57E9A57-75D2-4CFB-83FD-B46410B9480A}">
          <x14:formula1>
            <xm:f>'2025-Personas-FAIR-cleaned'!$B$3:$B$40</xm:f>
          </x14:formula1>
          <xm:sqref>B3 E5:E12 F13:F17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1230-F31B-49E1-95B4-CB73449EF91D}">
  <dimension ref="A1:X90"/>
  <sheetViews>
    <sheetView topLeftCell="A53" workbookViewId="0">
      <selection activeCell="C84" sqref="C84"/>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196</v>
      </c>
      <c r="C3" s="99" t="str">
        <f>_xlfn.XLOOKUP($B3,'2025-Personas-FAIR-cleaned'!$B$3:$B$40,'2025-Personas-FAIR-cleaned'!$D$3:$D$40)</f>
        <v>Non-expert business user applying self-service analytics tools and dashboards; highly competent but not data-science trained. Individual within an organization who, despite lacking formal training in data science, utilizes data analysis tools and techniques to extract insights from data. These individuals often come from various backgrounds, such as business, marketing, or operations, and possess domain-specific expertise. Citizen Data Scientists leverage self-service analytics platforms, intuitive data visualization tools, and automated machine learning algorithms to explore datasets, generate reports, and uncover patterns or trends relevant to their roles.</v>
      </c>
      <c r="D3" s="99" t="str">
        <f>_xlfn.XLOOKUP($B3,'2025-Personas-FAIR-cleaned'!$B$3:$B$40,'2025-Personas-FAIR-cleaned'!$G$3:$G$40)</f>
        <v>R&amp;D Data Scientist; Applied Data Scientist; ML Scientist</v>
      </c>
      <c r="E3" s="100" t="str">
        <f>_xlfn.XLOOKUP($B3,'2025-Personas-FAIR-cleaned'!$B$3:$B$40,'2025-Personas-FAIR-cleaned'!$H$3:$H$40)</f>
        <v>Advanced_Data_Analysis_and_Insights_Professional,Citizen_Data_Scientist,Legal_Data_Expert,Researcher</v>
      </c>
      <c r="F3" s="99" t="str">
        <f>_xlfn.XLOOKUP($B3,'2025-Personas-FAIR-cleaned'!$B$3:$B$40,'2025-Personas-FAIR-cleaned'!$K$3:$K$40)</f>
        <v>Explores and visualize data, combines and clean data in collaboration with data teams, build dashboards, applies automated machine learning, and interpretes results to support business decisions. Performs all of the above using self-service tools without needing to code.</v>
      </c>
      <c r="G3" s="99" t="str">
        <f>_xlfn.XLOOKUP($B3,'2025-Personas-FAIR-cleaned'!$B$3:$B$40,'2025-Personas-FAIR-cleaned'!$O$3:$O$40)</f>
        <v>Issues: Information sources often lack complete datasets, leading to gaps and inconsistencies. Context is frequently missed or misinterpreted, making analysis and reporting unreliable. Project teams often need to involve additional subject matter experts to verify reports or trace original data owners.
Latent gains: Implementing FAIR principles would minimize these challenges by improving data completeness, contextual clarity, and traceability—unlocking greater efficiency, compliance, and data reuse.</v>
      </c>
      <c r="H3" s="99" t="str">
        <f>_xlfn.XLOOKUP($B3,'2025-Personas-FAIR-cleaned'!$B$3:$B$40,'2025-Personas-FAIR-cleaned'!$M$3:$M$40)</f>
        <v>FAIR principles transforms how data can be accessed, understood, and used. FAIR data ensures that relevant datasets are findable and well-documented, allowing non-technical users to quickly locate trustworthy information without relying on data specialists. With accessible and standardized formats, self-service analytics tools and dashboards can easily connect to validated data sources, reducing the need for manual preparation or IT intervention. Interoperable data, structured through shared vocabularies and ontologies, ensures that metrics and definitions are consistent across business units—making analyses more reliable and comparable. Finally, reusable and well-described data enable repeatable analyses, support automation through AI-assisted tools, and foster confident, compliant decision-making. In short, FAIR empowers Citizen Data Scientists to work independently and efficiently, transforming domain expertise into actionable, data-driven insights without compromising data quality or governance.</v>
      </c>
      <c r="I3" s="99" t="str">
        <f>_xlfn.XLOOKUP($B3,'2025-Personas-FAIR-cleaned'!$B$3:$B$40,'2025-Personas-FAIR-cleaned'!$P$3:$P$40)</f>
        <v>F1 ensures that self-service tools pull from datasets with persistent identifiers, avoiding confusion and duplication; F2 provides rich metadata so non-expert users can quickly assess relevance, context, and quality of datasets; A1 guarantees seamless access to trusted data products without technical barriers; I1 enables smooth integration of datasets from different domains into dashboards and tools; R1.1 assures reproducibility of results, giving confidence that insights drawn from self-service analytics are reliable and defensible.</v>
      </c>
      <c r="J3" s="1"/>
      <c r="K3" s="1"/>
      <c r="L3" s="1"/>
      <c r="M3" s="1"/>
      <c r="N3" s="1"/>
      <c r="O3" s="1"/>
      <c r="P3" s="1"/>
      <c r="Q3" s="1"/>
      <c r="R3" s="1"/>
      <c r="S3" s="1"/>
      <c r="T3" s="1"/>
      <c r="U3" s="1"/>
      <c r="V3" s="1"/>
      <c r="W3" s="1"/>
      <c r="X3" s="1"/>
    </row>
    <row r="4" spans="1:24">
      <c r="D4" s="85" t="str" cm="1">
        <f t="array" ref="D4:D6">_xlfn.TEXTSPLIT(D3,,";")</f>
        <v>R&amp;D Data Scientist</v>
      </c>
      <c r="E4" s="85" t="str" cm="1">
        <f t="array" ref="E4:E7">_xlfn.TEXTSPLIT(E3,,",")</f>
        <v>Advanced_Data_Analysis_and_Insights_Professional</v>
      </c>
      <c r="G4" s="85" t="str" cm="1">
        <f t="array" ref="G4:G5">_xlfn.TEXTSPLIT(G3,,"Latent")</f>
        <v xml:space="preserve">Issues: Information sources often lack complete datasets, leading to gaps and inconsistencies. Context is frequently missed or misinterpreted, making analysis and reporting unreliable. Project teams often need to involve additional subject matter experts to verify reports or trace original data owners.
</v>
      </c>
      <c r="I4" s="85" t="str" cm="1">
        <f t="array" ref="I4:I8">_xlfn.TEXTSPLIT(I3,,";")</f>
        <v>F1 ensures that self-service tools pull from datasets with persistent identifiers, avoiding confusion and duplication</v>
      </c>
    </row>
    <row r="5" spans="1:24">
      <c r="D5" s="85" t="str">
        <v xml:space="preserve"> Applied Data Scientist</v>
      </c>
      <c r="E5" s="97" t="str">
        <v>Citizen_Data_Scientist</v>
      </c>
      <c r="G5" t="str">
        <v xml:space="preserve"> gains: Implementing FAIR principles would minimize these challenges by improving data completeness, contextual clarity, and traceability—unlocking greater efficiency, compliance, and data reuse.</v>
      </c>
      <c r="I5" t="str">
        <v xml:space="preserve"> F2 provides rich metadata so non-expert users can quickly assess relevance, context, and quality of datasets</v>
      </c>
    </row>
    <row r="6" spans="1:24">
      <c r="D6" s="85" t="str">
        <v xml:space="preserve"> ML Scientist</v>
      </c>
      <c r="E6" s="97" t="str">
        <v>Legal_Data_Expert</v>
      </c>
      <c r="I6" t="str">
        <v xml:space="preserve"> A1 guarantees seamless access to trusted data products without technical barriers</v>
      </c>
    </row>
    <row r="7" spans="1:24">
      <c r="D7" s="85"/>
      <c r="E7" s="97" t="str">
        <v>Researcher</v>
      </c>
      <c r="I7" t="str">
        <v xml:space="preserve"> I1 enables smooth integration of datasets from different domains into dashboards and tools</v>
      </c>
    </row>
    <row r="8" spans="1:24">
      <c r="D8" s="85"/>
      <c r="E8" s="97" t="s">
        <v>238</v>
      </c>
      <c r="I8" t="str">
        <v xml:space="preserve"> R1.1 assures reproducibility of results, giving confidence that insights drawn from self-service analytics are reliable and defensible.</v>
      </c>
    </row>
    <row r="9" spans="1:24">
      <c r="D9" s="85"/>
      <c r="E9" s="97" t="s">
        <v>251</v>
      </c>
    </row>
    <row r="10" spans="1:24">
      <c r="D10" s="85"/>
      <c r="E10" s="97" t="s">
        <v>533</v>
      </c>
    </row>
    <row r="11" spans="1:24">
      <c r="E11" s="97" t="s">
        <v>290</v>
      </c>
    </row>
    <row r="12" spans="1:24">
      <c r="E12" s="97" t="s">
        <v>265</v>
      </c>
    </row>
    <row r="16" spans="1:24">
      <c r="A16" s="4" t="s">
        <v>868</v>
      </c>
      <c r="B16" s="56" t="s">
        <v>869</v>
      </c>
    </row>
    <row r="17" spans="1:3">
      <c r="A17" s="4" t="s">
        <v>870</v>
      </c>
      <c r="B17" t="str">
        <f>CONCATENATE(B3,".md")</f>
        <v>Citizen_Data_Scientist.md</v>
      </c>
    </row>
    <row r="19" spans="1:3" s="94" customFormat="1">
      <c r="A19" s="93" t="s">
        <v>871</v>
      </c>
    </row>
    <row r="21" spans="1:3">
      <c r="A21" t="s">
        <v>872</v>
      </c>
      <c r="B21" t="str">
        <f>B3</f>
        <v>Citizen_Data_Scientist</v>
      </c>
    </row>
    <row r="22" spans="1:3">
      <c r="A22" t="str">
        <f>CONCATENATE("[",B3,"]","(",B16,B3,")")</f>
        <v>[Citizen_Data_Scientist](https://pistoiaalliance.github.io/FAIRMaturityMatrix/FAIR_personas/Citizen_Data_Scientist)</v>
      </c>
    </row>
    <row r="24" spans="1:3">
      <c r="A24" t="s">
        <v>873</v>
      </c>
      <c r="B24" t="s">
        <v>874</v>
      </c>
      <c r="C24" t="str">
        <f>$B$3</f>
        <v>Citizen_Data_Scientist</v>
      </c>
    </row>
    <row r="25" spans="1:3" ht="30">
      <c r="A25" t="s">
        <v>875</v>
      </c>
      <c r="B25" s="1" t="str">
        <f>CONCATENATE(B24," ",C24)</f>
        <v>Synonyms of  Citizen_Data_Scientist</v>
      </c>
      <c r="C25" t="s">
        <v>875</v>
      </c>
    </row>
    <row r="26" spans="1:3">
      <c r="A26" t="s">
        <v>875</v>
      </c>
      <c r="B26" t="s">
        <v>876</v>
      </c>
      <c r="C26" t="s">
        <v>875</v>
      </c>
    </row>
    <row r="27" spans="1:3">
      <c r="A27" t="s">
        <v>875</v>
      </c>
      <c r="B27" t="str">
        <f t="shared" ref="B27:B33" si="0">D4</f>
        <v>R&amp;D Data Scientist</v>
      </c>
      <c r="C27" t="s">
        <v>875</v>
      </c>
    </row>
    <row r="28" spans="1:3">
      <c r="A28" t="s">
        <v>875</v>
      </c>
      <c r="B28" t="str">
        <f t="shared" si="0"/>
        <v xml:space="preserve"> Applied Data Scientist</v>
      </c>
      <c r="C28" t="s">
        <v>875</v>
      </c>
    </row>
    <row r="29" spans="1:3">
      <c r="A29" t="s">
        <v>875</v>
      </c>
      <c r="B29" t="str">
        <f t="shared" si="0"/>
        <v xml:space="preserve"> ML Scientist</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Citizen_Data_Scientist</v>
      </c>
    </row>
    <row r="36" spans="1:3">
      <c r="A36" t="str">
        <f>C3</f>
        <v>Non-expert business user applying self-service analytics tools and dashboards; highly competent but not data-science trained. Individual within an organization who, despite lacking formal training in data science, utilizes data analysis tools and techniques to extract insights from data. These individuals often come from various backgrounds, such as business, marketing, or operations, and possess domain-specific expertise. Citizen Data Scientists leverage self-service analytics platforms, intuitive data visualization tools, and automated machine learning algorithms to explore datasets, generate reports, and uncover patterns or trends relevant to their roles.</v>
      </c>
    </row>
    <row r="39" spans="1:3">
      <c r="A39" s="69" t="s">
        <v>878</v>
      </c>
      <c r="B39" t="s">
        <v>879</v>
      </c>
      <c r="C39" t="str">
        <f>$B$3</f>
        <v>Citizen_Data_Scientist</v>
      </c>
    </row>
    <row r="40" spans="1:3" ht="45">
      <c r="A40" t="s">
        <v>875</v>
      </c>
      <c r="B40" s="1" t="str">
        <f>CONCATENATE(B39," ",C39)</f>
        <v>FAIR persona related to  Citizen_Data_Scientist</v>
      </c>
      <c r="C40" t="s">
        <v>875</v>
      </c>
    </row>
    <row r="41" spans="1:3">
      <c r="A41" t="s">
        <v>875</v>
      </c>
      <c r="B41" t="s">
        <v>876</v>
      </c>
      <c r="C41" t="s">
        <v>875</v>
      </c>
    </row>
    <row r="42" spans="1:3" ht="135">
      <c r="A42" t="s">
        <v>875</v>
      </c>
      <c r="B42" s="1" t="str">
        <f>CONCATENATE("[",E4,"]","(",$B$16,E4,")")</f>
        <v>[Advanced_Data_Analysis_and_Insights_Professional](https://pistoiaalliance.github.io/FAIRMaturityMatrix/FAIR_personas/Advanced_Data_Analysis_and_Insights_Professional)</v>
      </c>
      <c r="C42" t="s">
        <v>875</v>
      </c>
    </row>
    <row r="43" spans="1:3">
      <c r="A43" t="s">
        <v>875</v>
      </c>
      <c r="B43" t="str">
        <f t="shared" ref="B43:B49" si="1">CONCATENATE("[",E5,"]","(",$B$16,E5,")")</f>
        <v>[Citizen_Data_Scientist](https://pistoiaalliance.github.io/FAIRMaturityMatrix/FAIR_personas/Citizen_Data_Scientist)</v>
      </c>
      <c r="C43" t="s">
        <v>875</v>
      </c>
    </row>
    <row r="44" spans="1:3">
      <c r="A44" t="s">
        <v>875</v>
      </c>
      <c r="B44" t="str">
        <f t="shared" si="1"/>
        <v>[Legal_Data_Expert](https://pistoiaalliance.github.io/FAIRMaturityMatrix/FAIR_personas/Legal_Data_Expert)</v>
      </c>
      <c r="C44" t="s">
        <v>875</v>
      </c>
    </row>
    <row r="45" spans="1:3">
      <c r="A45" t="s">
        <v>875</v>
      </c>
      <c r="B45" t="str">
        <f t="shared" si="1"/>
        <v>[Researcher](https://pistoiaalliance.github.io/FAIRMaturityMatrix/FAIR_personas/Researcher)</v>
      </c>
      <c r="C45" t="s">
        <v>875</v>
      </c>
    </row>
    <row r="46" spans="1:3">
      <c r="A46" t="s">
        <v>875</v>
      </c>
      <c r="B46" t="str">
        <f t="shared" si="1"/>
        <v>[Data_Analyst](https://pistoiaalliance.github.io/FAIRMaturityMatrix/FAIR_personas/Data_Analyst)</v>
      </c>
      <c r="C46" t="s">
        <v>875</v>
      </c>
    </row>
    <row r="47" spans="1:3">
      <c r="A47" t="s">
        <v>875</v>
      </c>
      <c r="B47" t="str">
        <f t="shared" si="1"/>
        <v>[Data_Owner](https://pistoiaalliance.github.io/FAIRMaturityMatrix/FAIR_personas/Data_Owner)</v>
      </c>
      <c r="C47" t="s">
        <v>875</v>
      </c>
    </row>
    <row r="48" spans="1:3">
      <c r="A48" t="s">
        <v>875</v>
      </c>
      <c r="B48" t="str">
        <f t="shared" si="1"/>
        <v>[Legal_Data_Expert](https://pistoiaalliance.github.io/FAIRMaturityMatrix/FAIR_personas/Legal_Data_Expert)</v>
      </c>
      <c r="C48" t="s">
        <v>875</v>
      </c>
    </row>
    <row r="49" spans="1:3">
      <c r="A49" t="s">
        <v>875</v>
      </c>
      <c r="B49" t="str">
        <f t="shared" si="1"/>
        <v>[Data_Standards_and_Governance_Expert](https://pistoiaalliance.github.io/FAIRMaturityMatrix/FAIR_personas/Data_Standards_and_Governance_Expert)</v>
      </c>
      <c r="C49" t="s">
        <v>875</v>
      </c>
    </row>
    <row r="51" spans="1:3">
      <c r="A51" s="69" t="s">
        <v>878</v>
      </c>
      <c r="B51" t="s">
        <v>880</v>
      </c>
      <c r="C51" t="str">
        <f>$B$3</f>
        <v>Citizen_Data_Scientist</v>
      </c>
    </row>
    <row r="52" spans="1:3">
      <c r="A52" t="str">
        <f>F3</f>
        <v>Explores and visualize data, combines and clean data in collaboration with data teams, build dashboards, applies automated machine learning, and interpretes results to support business decisions. Performs all of the above using self-service tools without needing to code.</v>
      </c>
    </row>
    <row r="55" spans="1:3">
      <c r="A55" t="s">
        <v>881</v>
      </c>
      <c r="B55" s="69" t="s">
        <v>882</v>
      </c>
      <c r="C55" t="str">
        <f>$B$3</f>
        <v>Citizen_Data_Scientist</v>
      </c>
    </row>
    <row r="56" spans="1:3">
      <c r="A56" t="s">
        <v>883</v>
      </c>
      <c r="B56" t="s">
        <v>884</v>
      </c>
      <c r="C56" t="str">
        <f>$B$3</f>
        <v>Citizen_Data_Scientist</v>
      </c>
    </row>
    <row r="57" spans="1:3">
      <c r="A57" t="str">
        <f>G4</f>
        <v xml:space="preserve">Issues: Information sources often lack complete datasets, leading to gaps and inconsistencies. Context is frequently missed or misinterpreted, making analysis and reporting unreliable. Project teams often need to involve additional subject matter experts to verify reports or trace original data owners.
</v>
      </c>
    </row>
    <row r="58" spans="1:3">
      <c r="A58" t="s">
        <v>883</v>
      </c>
      <c r="B58" t="s">
        <v>885</v>
      </c>
      <c r="C58" t="str">
        <f>$B$3</f>
        <v>Citizen_Data_Scientist</v>
      </c>
    </row>
    <row r="59" spans="1:3">
      <c r="A59" t="str">
        <f>CONCATENATE("Latent ",G5)</f>
        <v>Latent  gains: Implementing FAIR principles would minimize these challenges by improving data completeness, contextual clarity, and traceability—unlocking greater efficiency, compliance, and data reuse.</v>
      </c>
    </row>
    <row r="62" spans="1:3">
      <c r="A62" t="s">
        <v>873</v>
      </c>
      <c r="B62" s="69" t="s">
        <v>886</v>
      </c>
      <c r="C62" t="str">
        <f>$B$3</f>
        <v>Citizen_Data_Scientist</v>
      </c>
    </row>
    <row r="63" spans="1:3">
      <c r="A63" s="69" t="str">
        <f>H3</f>
        <v>FAIR principles transforms how data can be accessed, understood, and used. FAIR data ensures that relevant datasets are findable and well-documented, allowing non-technical users to quickly locate trustworthy information without relying on data specialists. With accessible and standardized formats, self-service analytics tools and dashboards can easily connect to validated data sources, reducing the need for manual preparation or IT intervention. Interoperable data, structured through shared vocabularies and ontologies, ensures that metrics and definitions are consistent across business units—making analyses more reliable and comparable. Finally, reusable and well-described data enable repeatable analyses, support automation through AI-assisted tools, and foster confident, compliant decision-making. In short, FAIR empowers Citizen Data Scientists to work independently and efficiently, transforming domain expertise into actionable, data-driven insights without compromising data quality or governance.</v>
      </c>
    </row>
    <row r="64" spans="1:3">
      <c r="B64" s="69"/>
    </row>
    <row r="65" spans="1:2">
      <c r="A65" t="s">
        <v>883</v>
      </c>
      <c r="B65" t="str">
        <f>LEFT(A66,3)</f>
        <v xml:space="preserve">F1 </v>
      </c>
    </row>
    <row r="66" spans="1:2">
      <c r="A66" t="str">
        <f>I4</f>
        <v>F1 ensures that self-service tools pull from datasets with persistent identifiers, avoiding confusion and duplication</v>
      </c>
    </row>
    <row r="67" spans="1:2">
      <c r="A67" t="s">
        <v>883</v>
      </c>
      <c r="B67" t="str">
        <f>LEFT(A68,3)</f>
        <v xml:space="preserve"> F2</v>
      </c>
    </row>
    <row r="68" spans="1:2">
      <c r="A68" t="str">
        <f>I5</f>
        <v xml:space="preserve"> F2 provides rich metadata so non-expert users can quickly assess relevance, context, and quality of datasets</v>
      </c>
    </row>
    <row r="69" spans="1:2">
      <c r="A69" t="s">
        <v>883</v>
      </c>
      <c r="B69" t="str">
        <f>LEFT(A70,3)</f>
        <v xml:space="preserve"> A1</v>
      </c>
    </row>
    <row r="70" spans="1:2">
      <c r="A70" t="str">
        <f>I6</f>
        <v xml:space="preserve"> A1 guarantees seamless access to trusted data products without technical barriers</v>
      </c>
    </row>
    <row r="71" spans="1:2">
      <c r="A71" t="s">
        <v>883</v>
      </c>
      <c r="B71" t="str">
        <f>LEFT(A72,3)</f>
        <v xml:space="preserve"> I1</v>
      </c>
    </row>
    <row r="72" spans="1:2">
      <c r="A72" t="str">
        <f>I7</f>
        <v xml:space="preserve"> I1 enables smooth integration of datasets from different domains into dashboards and tools</v>
      </c>
    </row>
    <row r="73" spans="1:2">
      <c r="A73" t="s">
        <v>883</v>
      </c>
      <c r="B73" t="str">
        <f>LEFT(A74,3)</f>
        <v xml:space="preserve"> R1</v>
      </c>
    </row>
    <row r="74" spans="1:2">
      <c r="A74" t="str">
        <f>I8</f>
        <v xml:space="preserve"> R1.1 assures reproducibility of results, giving confidence that insights drawn from self-service analytics are reliable and defensible.</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66FBE088-89A7-4A83-8CA6-60CEE621E13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AABB81-72DF-4C28-9496-2308B83B7636}">
          <x14:formula1>
            <xm:f>'2025-Personas-FAIR-cleaned'!$B$3:$B$40</xm:f>
          </x14:formula1>
          <xm:sqref>B3 E5:E12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6524-BBDB-47B2-8BB2-10665B6E22C1}">
  <dimension ref="A1:X90"/>
  <sheetViews>
    <sheetView topLeftCell="A42" workbookViewId="0">
      <selection activeCell="A21" sqref="A21:C90"/>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152</v>
      </c>
      <c r="B3" s="98" t="s">
        <v>153</v>
      </c>
      <c r="C3" s="99" t="str">
        <f>_xlfn.XLOOKUP($B3,'2025-Personas-FAIR-cleaned'!$B$3:$B$40,'2025-Personas-FAIR-cleaned'!$D$3:$D$40)</f>
        <v>The Business Analyst serves as a vital link between business stakeholders and technical teams, ensuring that data, systems, and processes align with organizational goals. They analyze and document business requirements, translate them into data models and workflows, and collaborate across functions to ensure cohesive data design and governance. Skilled in process analysis, requirements engineering, and stakeholder communication, they enable informed decision-making by promoting data quality, consistency, and effective change management.</v>
      </c>
      <c r="D3" s="99" t="str">
        <f>_xlfn.XLOOKUP($B3,'2025-Personas-FAIR-cleaned'!$B$3:$B$40,'2025-Personas-FAIR-cleaned'!$G$3:$G$40)</f>
        <v>Data Modeller; Business System Consultant; Business Relationship Manager;
Data Analyst</v>
      </c>
      <c r="E3" s="100" t="str">
        <f>_xlfn.XLOOKUP($B3,'2025-Personas-FAIR-cleaned'!$B$3:$B$40,'2025-Personas-FAIR-cleaned'!$H$3:$H$40)</f>
        <v>Advanced_Data_Analysis_and_Insights_Professional,Business_Analyst,Business_Owner,Data_Analyst</v>
      </c>
      <c r="F3" s="99" t="str">
        <f>_xlfn.XLOOKUP($B3,'2025-Personas-FAIR-cleaned'!$B$3:$B$40,'2025-Personas-FAIR-cleaned'!$K$3:$K$40)</f>
        <v>The Business Analyst collaborates across R&amp;D, clinical, regulatory, and IT teams to gather requirements, map workflows, and identify opportunities for process and data improvement. They design compliant data models and specifications, ensure alignment with governance standards, and validate data quality. Additionally, they document processes, support change management, and monitor solution performance to drive continuous improvement in data-driven operations.</v>
      </c>
      <c r="G3" s="99" t="str">
        <f>_xlfn.XLOOKUP($B3,'2025-Personas-FAIR-cleaned'!$B$3:$B$40,'2025-Personas-FAIR-cleaned'!$O$3:$O$40)</f>
        <v>Issues:   fragmented data silos, poor metadata, inconsistent standards, and limited interoperability—leading to rework, inefficiencies, compliance risks, and slow decision-making. 
Latent gains:  improve data discoverability, consistency, and traceability; reducing redundancy and vendor lock-in; and enabling efficient management of large, diverse datasets through shared ontologies and archiving policies. Increase ability to work proactively, streamline workflows, ensure regulatory readiness, and deliver faster, more reliable insights across the R&amp;D and product lifecycle.</v>
      </c>
      <c r="H3" s="99" t="str">
        <f>_xlfn.XLOOKUP($B3,'2025-Personas-FAIR-cleaned'!$B$3:$B$40,'2025-Personas-FAIR-cleaned'!$M$3:$M$40)</f>
        <v>Business Analyst in a pharmaceutical company, adopting FAIR principles transforms data management into a scalable, proactive discipline. Findable and Accessible data reduce redundancy by eliminating silos and duplication of effort, while Interoperable data—structured through shared ontologies—prevents vendor lock-in and enables seamless integration across diverse platforms and partners. Reusable and well-documented datasets support reproducibility, compliance, and efficient lifecycle management, allowing petabytes of research, clinical, and manufacturing data to be managed and archived systematically through defined policies. With FAIR in place, the Business Analyst can focus on driving business value—optimizing processes, improving data quality, and ensuring that insights are derived from consistent, traceable, and reusable information across the enterprise.</v>
      </c>
      <c r="I3" s="99" t="str">
        <f>_xlfn.XLOOKUP($B3,'2025-Personas-FAIR-cleaned'!$B$3:$B$40,'2025-Personas-FAIR-cleaned'!$P$3:$P$40)</f>
        <v>F2 improves discoverability of datasets for analytical use; A1.1 provides standardized metadata protocols for access; R1.2 ensures lawful reuse through explicit licensing clarity</v>
      </c>
      <c r="J3" s="1"/>
      <c r="K3" s="1"/>
      <c r="L3" s="1"/>
      <c r="M3" s="1"/>
      <c r="N3" s="1"/>
      <c r="O3" s="1"/>
      <c r="P3" s="1"/>
      <c r="Q3" s="1"/>
      <c r="R3" s="1"/>
      <c r="S3" s="1"/>
      <c r="T3" s="1"/>
      <c r="U3" s="1"/>
      <c r="V3" s="1"/>
      <c r="W3" s="1"/>
      <c r="X3" s="1"/>
    </row>
    <row r="4" spans="1:24">
      <c r="D4" s="85" t="str" cm="1">
        <f t="array" ref="D4:D7">_xlfn.TEXTSPLIT(D3,,";")</f>
        <v>Data Modeller</v>
      </c>
      <c r="E4" s="85" t="str" cm="1">
        <f t="array" ref="E4:E7">_xlfn.TEXTSPLIT(E3,,",")</f>
        <v>Advanced_Data_Analysis_and_Insights_Professional</v>
      </c>
      <c r="G4" s="85" t="str" cm="1">
        <f t="array" ref="G4:G5">_xlfn.TEXTSPLIT(G3,,"Latent")</f>
        <v xml:space="preserve">Issues:   fragmented data silos, poor metadata, inconsistent standards, and limited interoperability—leading to rework, inefficiencies, compliance risks, and slow decision-making. 
</v>
      </c>
      <c r="I4" s="85" t="str" cm="1">
        <f t="array" ref="I4:I6">_xlfn.TEXTSPLIT(I3,,";")</f>
        <v>F2 improves discoverability of datasets for analytical use</v>
      </c>
    </row>
    <row r="5" spans="1:24">
      <c r="D5" s="85" t="str">
        <v xml:space="preserve"> Business System Consultant</v>
      </c>
      <c r="E5" s="97" t="str">
        <v>Business_Analyst</v>
      </c>
      <c r="G5" t="str">
        <v xml:space="preserve"> gains:  improve data discoverability, consistency, and traceability; reducing redundancy and vendor lock-in; and enabling efficient management of large, diverse datasets through shared ontologies and archiving policies. Increase ability to work proactively, streamline workflows, ensure regulatory readiness, and deliver faster, more reliable insights across the R&amp;D and product lifecycle.</v>
      </c>
      <c r="I5" t="str">
        <v xml:space="preserve"> A1.1 provides standardized metadata protocols for access</v>
      </c>
    </row>
    <row r="6" spans="1:24">
      <c r="D6" s="85" t="str">
        <v xml:space="preserve"> Business Relationship Manager</v>
      </c>
      <c r="E6" s="97" t="str">
        <v>Business_Owner</v>
      </c>
      <c r="I6" t="str">
        <v xml:space="preserve"> R1.2 ensures lawful reuse through explicit licensing clarity</v>
      </c>
    </row>
    <row r="7" spans="1:24">
      <c r="D7" s="85" t="str">
        <v xml:space="preserve">
Data Analyst</v>
      </c>
      <c r="E7" s="97" t="str">
        <v>Data_Analyst</v>
      </c>
    </row>
    <row r="8" spans="1:24">
      <c r="D8" s="85"/>
      <c r="E8" s="97" t="s">
        <v>238</v>
      </c>
    </row>
    <row r="9" spans="1:24">
      <c r="D9" s="85"/>
      <c r="E9" s="97" t="s">
        <v>251</v>
      </c>
    </row>
    <row r="10" spans="1:24">
      <c r="D10" s="85"/>
      <c r="E10" s="97" t="s">
        <v>533</v>
      </c>
    </row>
    <row r="11" spans="1:24">
      <c r="E11" s="97" t="s">
        <v>290</v>
      </c>
    </row>
    <row r="12" spans="1:24">
      <c r="E12" s="97" t="s">
        <v>265</v>
      </c>
    </row>
    <row r="16" spans="1:24">
      <c r="A16" s="4" t="s">
        <v>868</v>
      </c>
      <c r="B16" s="56" t="s">
        <v>869</v>
      </c>
    </row>
    <row r="17" spans="1:3">
      <c r="A17" s="4" t="s">
        <v>870</v>
      </c>
      <c r="B17" t="str">
        <f>CONCATENATE(B3,".md")</f>
        <v>Business_Analyst.md</v>
      </c>
    </row>
    <row r="19" spans="1:3" s="94" customFormat="1">
      <c r="A19" s="93" t="s">
        <v>871</v>
      </c>
    </row>
    <row r="21" spans="1:3">
      <c r="A21" t="s">
        <v>872</v>
      </c>
      <c r="B21" t="str">
        <f>B3</f>
        <v>Business_Analyst</v>
      </c>
    </row>
    <row r="22" spans="1:3">
      <c r="A22" t="str">
        <f>CONCATENATE("[",B3,"]","(",B16,B3,")")</f>
        <v>[Business_Analyst](https://pistoiaalliance.github.io/FAIRMaturityMatrix/FAIR_personas/Business_Analyst)</v>
      </c>
    </row>
    <row r="24" spans="1:3">
      <c r="A24" t="s">
        <v>873</v>
      </c>
      <c r="B24" t="s">
        <v>874</v>
      </c>
      <c r="C24" t="str">
        <f>$B$3</f>
        <v>Business_Analyst</v>
      </c>
    </row>
    <row r="25" spans="1:3" ht="30">
      <c r="A25" t="s">
        <v>875</v>
      </c>
      <c r="B25" s="1" t="str">
        <f>CONCATENATE(B24," ",C24)</f>
        <v>Synonyms of  Business_Analyst</v>
      </c>
      <c r="C25" t="s">
        <v>875</v>
      </c>
    </row>
    <row r="26" spans="1:3">
      <c r="A26" t="s">
        <v>875</v>
      </c>
      <c r="B26" t="s">
        <v>876</v>
      </c>
      <c r="C26" t="s">
        <v>875</v>
      </c>
    </row>
    <row r="27" spans="1:3">
      <c r="A27" t="s">
        <v>875</v>
      </c>
      <c r="B27" t="str">
        <f t="shared" ref="B27:B33" si="0">D4</f>
        <v>Data Modeller</v>
      </c>
      <c r="C27" t="s">
        <v>875</v>
      </c>
    </row>
    <row r="28" spans="1:3">
      <c r="A28" t="s">
        <v>875</v>
      </c>
      <c r="B28" t="str">
        <f t="shared" si="0"/>
        <v xml:space="preserve"> Business System Consultant</v>
      </c>
      <c r="C28" t="s">
        <v>875</v>
      </c>
    </row>
    <row r="29" spans="1:3">
      <c r="A29" t="s">
        <v>875</v>
      </c>
      <c r="B29" t="str">
        <f t="shared" si="0"/>
        <v xml:space="preserve"> Business Relationship Manager</v>
      </c>
      <c r="C29" t="s">
        <v>875</v>
      </c>
    </row>
    <row r="30" spans="1:3">
      <c r="A30" t="s">
        <v>875</v>
      </c>
      <c r="B30" t="str">
        <f t="shared" si="0"/>
        <v xml:space="preserve">
Data Analyst</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Business_Analyst</v>
      </c>
    </row>
    <row r="36" spans="1:3">
      <c r="A36" t="str">
        <f>C3</f>
        <v>The Business Analyst serves as a vital link between business stakeholders and technical teams, ensuring that data, systems, and processes align with organizational goals. They analyze and document business requirements, translate them into data models and workflows, and collaborate across functions to ensure cohesive data design and governance. Skilled in process analysis, requirements engineering, and stakeholder communication, they enable informed decision-making by promoting data quality, consistency, and effective change management.</v>
      </c>
    </row>
    <row r="39" spans="1:3">
      <c r="A39" s="69" t="s">
        <v>878</v>
      </c>
      <c r="B39" t="s">
        <v>879</v>
      </c>
      <c r="C39" t="str">
        <f>$B$3</f>
        <v>Business_Analyst</v>
      </c>
    </row>
    <row r="40" spans="1:3" ht="30">
      <c r="A40" t="s">
        <v>875</v>
      </c>
      <c r="B40" s="1" t="str">
        <f>CONCATENATE(B39," ",C39)</f>
        <v>FAIR persona related to  Business_Analyst</v>
      </c>
      <c r="C40" t="s">
        <v>875</v>
      </c>
    </row>
    <row r="41" spans="1:3">
      <c r="A41" t="s">
        <v>875</v>
      </c>
      <c r="B41" t="s">
        <v>876</v>
      </c>
      <c r="C41" t="s">
        <v>875</v>
      </c>
    </row>
    <row r="42" spans="1:3" ht="135">
      <c r="A42" t="s">
        <v>875</v>
      </c>
      <c r="B42" s="1" t="str">
        <f>CONCATENATE("[",E4,"]","(",$B$16,E4,")")</f>
        <v>[Advanced_Data_Analysis_and_Insights_Professional](https://pistoiaalliance.github.io/FAIRMaturityMatrix/FAIR_personas/Advanced_Data_Analysis_and_Insights_Professional)</v>
      </c>
      <c r="C42" t="s">
        <v>875</v>
      </c>
    </row>
    <row r="43" spans="1:3">
      <c r="A43" t="s">
        <v>875</v>
      </c>
      <c r="B43" t="str">
        <f t="shared" ref="B43:B49" si="1">CONCATENATE("[",E5,"]","(",$B$16,E5,")")</f>
        <v>[Business_Analyst](https://pistoiaalliance.github.io/FAIRMaturityMatrix/FAIR_personas/Business_Analyst)</v>
      </c>
      <c r="C43" t="s">
        <v>875</v>
      </c>
    </row>
    <row r="44" spans="1:3">
      <c r="A44" t="s">
        <v>875</v>
      </c>
      <c r="B44" t="str">
        <f t="shared" si="1"/>
        <v>[Business_Owner](https://pistoiaalliance.github.io/FAIRMaturityMatrix/FAIR_personas/Business_Owner)</v>
      </c>
      <c r="C44" t="s">
        <v>875</v>
      </c>
    </row>
    <row r="45" spans="1:3">
      <c r="A45" t="s">
        <v>875</v>
      </c>
      <c r="B45" t="str">
        <f t="shared" si="1"/>
        <v>[Data_Analyst](https://pistoiaalliance.github.io/FAIRMaturityMatrix/FAIR_personas/Data_Analyst)</v>
      </c>
      <c r="C45" t="s">
        <v>875</v>
      </c>
    </row>
    <row r="46" spans="1:3">
      <c r="A46" t="s">
        <v>875</v>
      </c>
      <c r="B46" t="str">
        <f t="shared" si="1"/>
        <v>[Data_Analyst](https://pistoiaalliance.github.io/FAIRMaturityMatrix/FAIR_personas/Data_Analyst)</v>
      </c>
      <c r="C46" t="s">
        <v>875</v>
      </c>
    </row>
    <row r="47" spans="1:3">
      <c r="A47" t="s">
        <v>875</v>
      </c>
      <c r="B47" t="str">
        <f t="shared" si="1"/>
        <v>[Data_Owner](https://pistoiaalliance.github.io/FAIRMaturityMatrix/FAIR_personas/Data_Owner)</v>
      </c>
      <c r="C47" t="s">
        <v>875</v>
      </c>
    </row>
    <row r="48" spans="1:3">
      <c r="A48" t="s">
        <v>875</v>
      </c>
      <c r="B48" t="str">
        <f t="shared" si="1"/>
        <v>[Legal_Data_Expert](https://pistoiaalliance.github.io/FAIRMaturityMatrix/FAIR_personas/Legal_Data_Expert)</v>
      </c>
      <c r="C48" t="s">
        <v>875</v>
      </c>
    </row>
    <row r="49" spans="1:3">
      <c r="A49" t="s">
        <v>875</v>
      </c>
      <c r="B49" t="str">
        <f t="shared" si="1"/>
        <v>[Data_Standards_and_Governance_Expert](https://pistoiaalliance.github.io/FAIRMaturityMatrix/FAIR_personas/Data_Standards_and_Governance_Expert)</v>
      </c>
      <c r="C49" t="s">
        <v>875</v>
      </c>
    </row>
    <row r="51" spans="1:3">
      <c r="A51" s="69" t="s">
        <v>878</v>
      </c>
      <c r="B51" t="s">
        <v>880</v>
      </c>
      <c r="C51" t="str">
        <f>$B$3</f>
        <v>Business_Analyst</v>
      </c>
    </row>
    <row r="52" spans="1:3">
      <c r="A52" t="str">
        <f>F3</f>
        <v>The Business Analyst collaborates across R&amp;D, clinical, regulatory, and IT teams to gather requirements, map workflows, and identify opportunities for process and data improvement. They design compliant data models and specifications, ensure alignment with governance standards, and validate data quality. Additionally, they document processes, support change management, and monitor solution performance to drive continuous improvement in data-driven operations.</v>
      </c>
    </row>
    <row r="55" spans="1:3">
      <c r="A55" t="s">
        <v>881</v>
      </c>
      <c r="B55" s="69" t="s">
        <v>882</v>
      </c>
      <c r="C55" t="str">
        <f>$B$3</f>
        <v>Business_Analyst</v>
      </c>
    </row>
    <row r="56" spans="1:3">
      <c r="A56" t="s">
        <v>883</v>
      </c>
      <c r="B56" t="s">
        <v>884</v>
      </c>
      <c r="C56" t="str">
        <f>$B$3</f>
        <v>Business_Analyst</v>
      </c>
    </row>
    <row r="57" spans="1:3">
      <c r="A57" t="str">
        <f>G4</f>
        <v xml:space="preserve">Issues:   fragmented data silos, poor metadata, inconsistent standards, and limited interoperability—leading to rework, inefficiencies, compliance risks, and slow decision-making. 
</v>
      </c>
    </row>
    <row r="58" spans="1:3">
      <c r="A58" t="s">
        <v>883</v>
      </c>
      <c r="B58" t="s">
        <v>885</v>
      </c>
      <c r="C58" t="str">
        <f>$B$3</f>
        <v>Business_Analyst</v>
      </c>
    </row>
    <row r="59" spans="1:3">
      <c r="A59" t="str">
        <f>CONCATENATE("Latent ",G5)</f>
        <v>Latent  gains:  improve data discoverability, consistency, and traceability; reducing redundancy and vendor lock-in; and enabling efficient management of large, diverse datasets through shared ontologies and archiving policies. Increase ability to work proactively, streamline workflows, ensure regulatory readiness, and deliver faster, more reliable insights across the R&amp;D and product lifecycle.</v>
      </c>
    </row>
    <row r="62" spans="1:3">
      <c r="A62" t="s">
        <v>873</v>
      </c>
      <c r="B62" s="69" t="s">
        <v>886</v>
      </c>
      <c r="C62" t="str">
        <f>$B$3</f>
        <v>Business_Analyst</v>
      </c>
    </row>
    <row r="63" spans="1:3">
      <c r="A63" s="69" t="str">
        <f>H3</f>
        <v>Business Analyst in a pharmaceutical company, adopting FAIR principles transforms data management into a scalable, proactive discipline. Findable and Accessible data reduce redundancy by eliminating silos and duplication of effort, while Interoperable data—structured through shared ontologies—prevents vendor lock-in and enables seamless integration across diverse platforms and partners. Reusable and well-documented datasets support reproducibility, compliance, and efficient lifecycle management, allowing petabytes of research, clinical, and manufacturing data to be managed and archived systematically through defined policies. With FAIR in place, the Business Analyst can focus on driving business value—optimizing processes, improving data quality, and ensuring that insights are derived from consistent, traceable, and reusable information across the enterprise.</v>
      </c>
    </row>
    <row r="64" spans="1:3">
      <c r="B64" s="69"/>
    </row>
    <row r="65" spans="1:2">
      <c r="A65" t="s">
        <v>883</v>
      </c>
      <c r="B65" t="str">
        <f>LEFT(A66,3)</f>
        <v xml:space="preserve">F2 </v>
      </c>
    </row>
    <row r="66" spans="1:2">
      <c r="A66" t="str">
        <f>I4</f>
        <v>F2 improves discoverability of datasets for analytical use</v>
      </c>
    </row>
    <row r="67" spans="1:2">
      <c r="A67" t="s">
        <v>883</v>
      </c>
      <c r="B67" t="str">
        <f>LEFT(A68,3)</f>
        <v xml:space="preserve"> A1</v>
      </c>
    </row>
    <row r="68" spans="1:2">
      <c r="A68" t="str">
        <f>I5</f>
        <v xml:space="preserve"> A1.1 provides standardized metadata protocols for access</v>
      </c>
    </row>
    <row r="69" spans="1:2">
      <c r="A69" t="s">
        <v>883</v>
      </c>
      <c r="B69" t="str">
        <f>LEFT(A70,3)</f>
        <v xml:space="preserve"> R1</v>
      </c>
    </row>
    <row r="70" spans="1:2">
      <c r="A70" t="str">
        <f>I6</f>
        <v xml:space="preserve"> R1.2 ensures lawful reuse through explicit licensing clarity</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49CB1F13-E591-48CE-8534-BC096F44C5F7}"/>
    <hyperlink ref="A3" r:id="rId2" xr:uid="{D762C19D-8409-4C98-AA78-7EB7E1339A9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C05490D-F1E0-454C-B2B3-AB8AB6C88D41}">
          <x14:formula1>
            <xm:f>'2025-Personas-FAIR-cleaned'!$B$3:$B$40</xm:f>
          </x14:formula1>
          <xm:sqref>B3 E5:E12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8287-2BEF-4D44-A5B9-B886F9927D29}">
  <dimension ref="A1:X90"/>
  <sheetViews>
    <sheetView topLeftCell="A54" workbookViewId="0">
      <selection activeCell="A21" sqref="A21:C82"/>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401</v>
      </c>
      <c r="B3" s="98" t="s">
        <v>211</v>
      </c>
      <c r="C3" s="99" t="str">
        <f>_xlfn.XLOOKUP($B3,'2025-Personas-FAIR-cleaned'!$B$3:$B$40,'2025-Personas-FAIR-cleaned'!$D$3:$D$40)</f>
        <v>Ensures accuracy, integrity, and reliability of data collected during clinical trials. They are responsible for designing and maintaining data management plans, overseeing data collection systems, and implementing quality control processes to ensure compliance with regulatory standards and requirements (e.g. from FDA,EMA). They manage the end-to-end data lifecycle in clinical trials.</v>
      </c>
      <c r="D3" s="99" t="str">
        <f>_xlfn.XLOOKUP($B3,'2025-Personas-FAIR-cleaned'!$B$3:$B$40,'2025-Personas-FAIR-cleaned'!$G$3:$G$40)</f>
        <v xml:space="preserve">Clinical Data Lead; CDISC Specialist; Clinical Informatics Lead </v>
      </c>
      <c r="E3" s="100" t="str">
        <f>_xlfn.XLOOKUP($B3,'2025-Personas-FAIR-cleaned'!$B$3:$B$40,'2025-Personas-FAIR-cleaned'!$H$3:$H$40)</f>
        <v>Business_Owner,Data_manager,Lab_Manager,Project_Manager</v>
      </c>
      <c r="F3" s="99" t="str">
        <f>_xlfn.XLOOKUP($B3,'2025-Personas-FAIR-cleaned'!$B$3:$B$40,'2025-Personas-FAIR-cleaned'!$K$3:$K$40)</f>
        <v>Clinical Data Manager (CDM) plays a central role in ensuring that clinical trial data is complete, accurate, and compliant with global regulatory standards. Their  responsibilities include designing and managing case report forms (CRFs), overseeing electronic data capture (EDC) systems, validating incoming data from multiple sites,  transforming raw data into standardized submission formats such as CDISC SDTM and ADaM. They coordinate  with biostatisticians, clinical operations, medical writers, and regulatory teams to ensure data consistency, timeliness, and readiness for regulatory submissions across complex, multi-country studies. CDMs also monitor data integrity, manage queries and discrepancies, and document all processes to maintain an auditable trail.</v>
      </c>
      <c r="G3" s="99" t="str">
        <f>_xlfn.XLOOKUP($B3,'2025-Personas-FAIR-cleaned'!$B$3:$B$40,'2025-Personas-FAIR-cleaned'!$O$3:$O$40)</f>
        <v>Issues:  face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  Latent gains: implementing FAIR principles would reduce these challenges and unlock efficiency, compliance, and reuse.</v>
      </c>
      <c r="H3" s="99" t="str">
        <f>_xlfn.XLOOKUP($B3,'2025-Personas-FAIR-cleaned'!$B$3:$B$40,'2025-Personas-FAIR-cleaned'!$M$3:$M$40)</f>
        <v xml:space="preserve"> By ensuring that data and metadata are findable, accessible, interoperable, and reusable, Clinical_Data_Manager	 can automate and accelerate data integration and cleaning processes. Standardized vocabularies and ontologies facilitate cross-study comparisons and reduce mapping errors, while rich provenance tracking enhances audit readiness and regulatory confidence. FAIR data also enables better reuse of clinical trial datasets for secondary research, machine learning, and meta-analyses, ultimately supporting faster decision-making, reducing redundancy, and increasing the value derived from every clinical trial. </v>
      </c>
      <c r="I3" s="99" t="str">
        <f>_xlfn.XLOOKUP($B3,'2025-Personas-FAIR-cleaned'!$B$3:$B$40,'2025-Personas-FAIR-cleaned'!$P$3:$P$40)</f>
        <v>F1 ensures patient and study data are persistently identified, enabling full traceability across trial phases; F2 provides rich metadata that documents study protocols, variables, and context for regulatory submissions; Findable (F1–F4): Standardized metadata and dataset identifiers make clinical trial data easier to locate across studies, sites, and systems. This ensures that data can be efficiently discovered for ongoing trials, regulatory submissions, or secondary research; A1 guarantees secure but reliable access to trial data for authorized stakeholders, maintaining audit trails and compliance with privacy regulations (GDPR, HIPAA); A2 Metadata remains accessible even if the underlying data is restricted, supporting transparency and planning; I1 supports interoperability between clinical trial management systems, EDC platforms, and regulatory systems ; I3 Adoption of CDISC standards, controlled vocabularies (MedDRA, SNOMED CT), and ontologies.  Reduces mapping errors and allows cross-study comparisons and multi-study analyses; R1.1 ensures reproducibility of trial records and analyses, meeting strict compliance requirements; R1.3: Well-documented provenance, data quality metrics, and usage licenses make datasets suitable for regulatory submissions, meta-analyses, and machine learning applications. This increases the long-term value of clinical data and supports reproducibility.</v>
      </c>
      <c r="J3" s="1"/>
      <c r="K3" s="1"/>
      <c r="L3" s="1"/>
      <c r="M3" s="1"/>
      <c r="N3" s="1"/>
      <c r="O3" s="1"/>
      <c r="P3" s="1"/>
      <c r="Q3" s="1"/>
      <c r="R3" s="1"/>
      <c r="S3" s="1"/>
      <c r="T3" s="1"/>
      <c r="U3" s="1"/>
      <c r="V3" s="1"/>
      <c r="W3" s="1"/>
      <c r="X3" s="1"/>
    </row>
    <row r="4" spans="1:24">
      <c r="D4" s="85" t="str" cm="1">
        <f t="array" ref="D4:D6">_xlfn.TEXTSPLIT(D3,,";")</f>
        <v>Clinical Data Lead</v>
      </c>
      <c r="E4" s="85" t="str" cm="1">
        <f t="array" ref="E4:E7">_xlfn.TEXTSPLIT(E3,,",")</f>
        <v>Business_Owner</v>
      </c>
      <c r="G4" s="85" t="str" cm="1">
        <f t="array" ref="G4:G5">_xlfn.TEXTSPLIT(G3,,"Latent")</f>
        <v xml:space="preserve">Issues:  face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  </v>
      </c>
      <c r="I4" s="85" t="str" cm="1">
        <f t="array" ref="I4:I12">_xlfn.TEXTSPLIT(I3,,";")</f>
        <v>F1 ensures patient and study data are persistently identified, enabling full traceability across trial phases</v>
      </c>
    </row>
    <row r="5" spans="1:24">
      <c r="D5" s="85" t="str">
        <v xml:space="preserve"> CDISC Specialist</v>
      </c>
      <c r="E5" s="97" t="str">
        <v>Data_manager</v>
      </c>
      <c r="G5" t="str">
        <v xml:space="preserve"> gains: implementing FAIR principles would reduce these challenges and unlock efficiency, compliance, and reuse.</v>
      </c>
      <c r="I5" t="str">
        <v xml:space="preserve"> F2 provides rich metadata that documents study protocols, variables, and context for regulatory submissions</v>
      </c>
    </row>
    <row r="6" spans="1:24">
      <c r="D6" s="85" t="str">
        <v xml:space="preserve"> Clinical Informatics Lead </v>
      </c>
      <c r="E6" s="97" t="str">
        <v>Lab_Manager</v>
      </c>
      <c r="I6" t="str">
        <v xml:space="preserve"> Findable (F1–F4): Standardized metadata and dataset identifiers make clinical trial data easier to locate across studies, sites, and systems. This ensures that data can be efficiently discovered for ongoing trials, regulatory submissions, or secondary research</v>
      </c>
    </row>
    <row r="7" spans="1:24">
      <c r="D7" s="85"/>
      <c r="E7" s="97" t="str">
        <v>Project_Manager</v>
      </c>
      <c r="I7" t="str">
        <v xml:space="preserve"> A1 guarantees secure but reliable access to trial data for authorized stakeholders, maintaining audit trails and compliance with privacy regulations (GDPR, HIPAA)</v>
      </c>
    </row>
    <row r="8" spans="1:24">
      <c r="D8" s="85"/>
      <c r="E8" s="97" t="s">
        <v>238</v>
      </c>
      <c r="I8" t="str">
        <v xml:space="preserve"> A2 Metadata remains accessible even if the underlying data is restricted, supporting transparency and planning</v>
      </c>
    </row>
    <row r="9" spans="1:24">
      <c r="D9" s="85"/>
      <c r="E9" s="97" t="s">
        <v>251</v>
      </c>
      <c r="I9" t="str">
        <v xml:space="preserve"> I1 supports interoperability between clinical trial management systems, EDC platforms, and regulatory systems </v>
      </c>
    </row>
    <row r="10" spans="1:24">
      <c r="D10" s="85"/>
      <c r="E10" s="97" t="s">
        <v>533</v>
      </c>
      <c r="I10" t="str">
        <v xml:space="preserve"> I3 Adoption of CDISC standards, controlled vocabularies (MedDRA, SNOMED CT), and ontologies.  Reduces mapping errors and allows cross-study comparisons and multi-study analyses</v>
      </c>
    </row>
    <row r="11" spans="1:24">
      <c r="E11" s="97" t="s">
        <v>290</v>
      </c>
      <c r="I11" t="str">
        <v xml:space="preserve"> R1.1 ensures reproducibility of trial records and analyses, meeting strict compliance requirements</v>
      </c>
    </row>
    <row r="12" spans="1:24">
      <c r="E12" s="97" t="s">
        <v>265</v>
      </c>
      <c r="I12" t="str">
        <v xml:space="preserve"> R1.3: Well-documented provenance, data quality metrics, and usage licenses make datasets suitable for regulatory submissions, meta-analyses, and machine learning applications. This increases the long-term value of clinical data and supports reproducibility.</v>
      </c>
    </row>
    <row r="16" spans="1:24">
      <c r="A16" s="4" t="s">
        <v>868</v>
      </c>
      <c r="B16" s="56" t="s">
        <v>869</v>
      </c>
    </row>
    <row r="17" spans="1:3">
      <c r="A17" s="4" t="s">
        <v>870</v>
      </c>
      <c r="B17" t="str">
        <f>CONCATENATE(B3,".md")</f>
        <v>Clinical_Data_Manager.md</v>
      </c>
    </row>
    <row r="19" spans="1:3" s="94" customFormat="1">
      <c r="A19" s="93" t="s">
        <v>871</v>
      </c>
    </row>
    <row r="21" spans="1:3">
      <c r="A21" t="s">
        <v>872</v>
      </c>
      <c r="B21" t="str">
        <f>B3</f>
        <v>Clinical_Data_Manager</v>
      </c>
    </row>
    <row r="22" spans="1:3">
      <c r="A22" t="str">
        <f>CONCATENATE("[",B3,"]","(",B16,B3,")")</f>
        <v>[Clinical_Data_Manager](https://pistoiaalliance.github.io/FAIRMaturityMatrix/FAIR_personas/Clinical_Data_Manager)</v>
      </c>
    </row>
    <row r="24" spans="1:3">
      <c r="A24" t="s">
        <v>873</v>
      </c>
      <c r="B24" t="s">
        <v>874</v>
      </c>
      <c r="C24" t="str">
        <f>$B$3</f>
        <v>Clinical_Data_Manager</v>
      </c>
    </row>
    <row r="25" spans="1:3" ht="45">
      <c r="A25" t="s">
        <v>875</v>
      </c>
      <c r="B25" s="1" t="str">
        <f>CONCATENATE(B24," ",C24)</f>
        <v>Synonyms of  Clinical_Data_Manager</v>
      </c>
      <c r="C25" t="s">
        <v>875</v>
      </c>
    </row>
    <row r="26" spans="1:3">
      <c r="A26" t="s">
        <v>875</v>
      </c>
      <c r="B26" t="s">
        <v>876</v>
      </c>
      <c r="C26" t="s">
        <v>875</v>
      </c>
    </row>
    <row r="27" spans="1:3">
      <c r="A27" t="s">
        <v>875</v>
      </c>
      <c r="B27" t="str">
        <f t="shared" ref="B27:B33" si="0">D4</f>
        <v>Clinical Data Lead</v>
      </c>
      <c r="C27" t="s">
        <v>875</v>
      </c>
    </row>
    <row r="28" spans="1:3">
      <c r="A28" t="s">
        <v>875</v>
      </c>
      <c r="B28" t="str">
        <f t="shared" si="0"/>
        <v xml:space="preserve"> CDISC Specialist</v>
      </c>
      <c r="C28" t="s">
        <v>875</v>
      </c>
    </row>
    <row r="29" spans="1:3">
      <c r="A29" t="s">
        <v>875</v>
      </c>
      <c r="B29" t="str">
        <f t="shared" si="0"/>
        <v xml:space="preserve"> Clinical Informatics Lead </v>
      </c>
      <c r="C29" t="s">
        <v>875</v>
      </c>
    </row>
    <row r="30" spans="1:3">
      <c r="A30" t="s">
        <v>875</v>
      </c>
      <c r="B30">
        <f t="shared" si="0"/>
        <v>0</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Clinical_Data_Manager</v>
      </c>
    </row>
    <row r="36" spans="1:3">
      <c r="A36" t="str">
        <f>C3</f>
        <v>Ensures accuracy, integrity, and reliability of data collected during clinical trials. They are responsible for designing and maintaining data management plans, overseeing data collection systems, and implementing quality control processes to ensure compliance with regulatory standards and requirements (e.g. from FDA,EMA). They manage the end-to-end data lifecycle in clinical trials.</v>
      </c>
    </row>
    <row r="39" spans="1:3">
      <c r="A39" s="69" t="s">
        <v>878</v>
      </c>
      <c r="B39" t="s">
        <v>879</v>
      </c>
      <c r="C39" t="str">
        <f>$B$3</f>
        <v>Clinical_Data_Manager</v>
      </c>
    </row>
    <row r="40" spans="1:3" ht="60">
      <c r="A40" t="s">
        <v>875</v>
      </c>
      <c r="B40" s="1" t="str">
        <f>CONCATENATE(B39," ",C39)</f>
        <v>FAIR persona related to  Clinical_Data_Manager</v>
      </c>
      <c r="C40" t="s">
        <v>875</v>
      </c>
    </row>
    <row r="41" spans="1:3">
      <c r="A41" t="s">
        <v>875</v>
      </c>
      <c r="B41" t="s">
        <v>876</v>
      </c>
      <c r="C41" t="s">
        <v>875</v>
      </c>
    </row>
    <row r="42" spans="1:3" ht="75">
      <c r="A42" t="s">
        <v>875</v>
      </c>
      <c r="B42" s="1" t="str">
        <f>CONCATENATE("[",E4,"]","(",$B$16,E4,")")</f>
        <v>[Business_Owner](https://pistoiaalliance.github.io/FAIRMaturityMatrix/FAIR_personas/Business_Owner)</v>
      </c>
      <c r="C42" t="s">
        <v>875</v>
      </c>
    </row>
    <row r="43" spans="1:3">
      <c r="A43" t="s">
        <v>875</v>
      </c>
      <c r="B43" t="str">
        <f t="shared" ref="B43:B49" si="1">CONCATENATE("[",E5,"]","(",$B$16,E5,")")</f>
        <v>[Data_manager](https://pistoiaalliance.github.io/FAIRMaturityMatrix/FAIR_personas/Data_manager)</v>
      </c>
      <c r="C43" t="s">
        <v>875</v>
      </c>
    </row>
    <row r="44" spans="1:3">
      <c r="A44" t="s">
        <v>875</v>
      </c>
      <c r="B44" t="str">
        <f t="shared" si="1"/>
        <v>[Lab_Manager](https://pistoiaalliance.github.io/FAIRMaturityMatrix/FAIR_personas/Lab_Manager)</v>
      </c>
      <c r="C44" t="s">
        <v>875</v>
      </c>
    </row>
    <row r="45" spans="1:3">
      <c r="A45" t="s">
        <v>875</v>
      </c>
      <c r="B45" t="str">
        <f t="shared" si="1"/>
        <v>[Project_Manager](https://pistoiaalliance.github.io/FAIRMaturityMatrix/FAIR_personas/Project_Manager)</v>
      </c>
      <c r="C45" t="s">
        <v>875</v>
      </c>
    </row>
    <row r="46" spans="1:3">
      <c r="A46" t="s">
        <v>875</v>
      </c>
      <c r="B46" t="str">
        <f t="shared" si="1"/>
        <v>[Data_Analyst](https://pistoiaalliance.github.io/FAIRMaturityMatrix/FAIR_personas/Data_Analyst)</v>
      </c>
      <c r="C46" t="s">
        <v>875</v>
      </c>
    </row>
    <row r="47" spans="1:3">
      <c r="A47" t="s">
        <v>875</v>
      </c>
      <c r="B47" t="str">
        <f t="shared" si="1"/>
        <v>[Data_Owner](https://pistoiaalliance.github.io/FAIRMaturityMatrix/FAIR_personas/Data_Owner)</v>
      </c>
      <c r="C47" t="s">
        <v>875</v>
      </c>
    </row>
    <row r="48" spans="1:3">
      <c r="A48" t="s">
        <v>875</v>
      </c>
      <c r="B48" t="str">
        <f t="shared" si="1"/>
        <v>[Legal_Data_Expert](https://pistoiaalliance.github.io/FAIRMaturityMatrix/FAIR_personas/Legal_Data_Expert)</v>
      </c>
      <c r="C48" t="s">
        <v>875</v>
      </c>
    </row>
    <row r="49" spans="1:3">
      <c r="A49" t="s">
        <v>875</v>
      </c>
      <c r="B49" t="str">
        <f t="shared" si="1"/>
        <v>[Data_Standards_and_Governance_Expert](https://pistoiaalliance.github.io/FAIRMaturityMatrix/FAIR_personas/Data_Standards_and_Governance_Expert)</v>
      </c>
      <c r="C49" t="s">
        <v>875</v>
      </c>
    </row>
    <row r="51" spans="1:3">
      <c r="A51" s="69" t="s">
        <v>878</v>
      </c>
      <c r="B51" t="s">
        <v>880</v>
      </c>
      <c r="C51" t="str">
        <f>$B$3</f>
        <v>Clinical_Data_Manager</v>
      </c>
    </row>
    <row r="52" spans="1:3">
      <c r="A52" t="str">
        <f>F3</f>
        <v>Clinical Data Manager (CDM) plays a central role in ensuring that clinical trial data is complete, accurate, and compliant with global regulatory standards. Their  responsibilities include designing and managing case report forms (CRFs), overseeing electronic data capture (EDC) systems, validating incoming data from multiple sites,  transforming raw data into standardized submission formats such as CDISC SDTM and ADaM. They coordinate  with biostatisticians, clinical operations, medical writers, and regulatory teams to ensure data consistency, timeliness, and readiness for regulatory submissions across complex, multi-country studies. CDMs also monitor data integrity, manage queries and discrepancies, and document all processes to maintain an auditable trail.</v>
      </c>
    </row>
    <row r="55" spans="1:3">
      <c r="A55" t="s">
        <v>881</v>
      </c>
      <c r="B55" s="69" t="s">
        <v>882</v>
      </c>
      <c r="C55" t="str">
        <f>$B$3</f>
        <v>Clinical_Data_Manager</v>
      </c>
    </row>
    <row r="56" spans="1:3">
      <c r="A56" t="s">
        <v>883</v>
      </c>
      <c r="B56" t="s">
        <v>884</v>
      </c>
      <c r="C56" t="str">
        <f>$B$3</f>
        <v>Clinical_Data_Manager</v>
      </c>
    </row>
    <row r="57" spans="1:3">
      <c r="A57" t="str">
        <f>G4</f>
        <v xml:space="preserve">Issues:  face challenges due to the scale and complexity of their trials. Data often comes from heterogeneous sources, including EDCs, laboratory systems, imaging platforms, wearables, and patient-reported outcomes, each using different formats, terminologies, and standards. Reconciling these sources is time-intensive, error-prone, and requires extensive manual mapping. Inconsistent metadata, limited provenance tracking, and siloed data systems make it difficult to ensure data quality, traceability, and reuse across studies. These challenges can lead to delays in submissions, increase operational risk, and limit the ability to leverage historical data for future trials or real-world evidence generation.  </v>
      </c>
    </row>
    <row r="58" spans="1:3">
      <c r="A58" t="s">
        <v>883</v>
      </c>
      <c r="B58" t="s">
        <v>885</v>
      </c>
      <c r="C58" t="str">
        <f>$B$3</f>
        <v>Clinical_Data_Manager</v>
      </c>
    </row>
    <row r="59" spans="1:3">
      <c r="A59" t="str">
        <f>CONCATENATE("Latent ",G5)</f>
        <v>Latent  gains: implementing FAIR principles would reduce these challenges and unlock efficiency, compliance, and reuse.</v>
      </c>
    </row>
    <row r="62" spans="1:3">
      <c r="A62" t="s">
        <v>873</v>
      </c>
      <c r="B62" s="69" t="s">
        <v>886</v>
      </c>
      <c r="C62" t="str">
        <f>$B$3</f>
        <v>Clinical_Data_Manager</v>
      </c>
    </row>
    <row r="63" spans="1:3">
      <c r="A63" s="69" t="str">
        <f>H3</f>
        <v xml:space="preserve"> By ensuring that data and metadata are findable, accessible, interoperable, and reusable, Clinical_Data_Manager	 can automate and accelerate data integration and cleaning processes. Standardized vocabularies and ontologies facilitate cross-study comparisons and reduce mapping errors, while rich provenance tracking enhances audit readiness and regulatory confidence. FAIR data also enables better reuse of clinical trial datasets for secondary research, machine learning, and meta-analyses, ultimately supporting faster decision-making, reducing redundancy, and increasing the value derived from every clinical trial. </v>
      </c>
    </row>
    <row r="64" spans="1:3">
      <c r="B64" s="69"/>
    </row>
    <row r="65" spans="1:2">
      <c r="A65" t="s">
        <v>883</v>
      </c>
      <c r="B65" t="str">
        <f>LEFT(A66,3)</f>
        <v xml:space="preserve">F1 </v>
      </c>
    </row>
    <row r="66" spans="1:2">
      <c r="A66" t="str">
        <f>I4</f>
        <v>F1 ensures patient and study data are persistently identified, enabling full traceability across trial phases</v>
      </c>
    </row>
    <row r="67" spans="1:2">
      <c r="A67" t="s">
        <v>883</v>
      </c>
      <c r="B67" t="str">
        <f>LEFT(A68,3)</f>
        <v xml:space="preserve"> F2</v>
      </c>
    </row>
    <row r="68" spans="1:2">
      <c r="A68" t="str">
        <f>I5</f>
        <v xml:space="preserve"> F2 provides rich metadata that documents study protocols, variables, and context for regulatory submissions</v>
      </c>
    </row>
    <row r="69" spans="1:2">
      <c r="A69" t="s">
        <v>883</v>
      </c>
      <c r="B69" t="str">
        <f>LEFT(A70,3)</f>
        <v xml:space="preserve"> Fi</v>
      </c>
    </row>
    <row r="70" spans="1:2">
      <c r="A70" t="str">
        <f>I6</f>
        <v xml:space="preserve"> Findable (F1–F4): Standardized metadata and dataset identifiers make clinical trial data easier to locate across studies, sites, and systems. This ensures that data can be efficiently discovered for ongoing trials, regulatory submissions, or secondary research</v>
      </c>
    </row>
    <row r="71" spans="1:2">
      <c r="A71" t="s">
        <v>883</v>
      </c>
      <c r="B71" t="str">
        <f>LEFT(A72,3)</f>
        <v xml:space="preserve"> A1</v>
      </c>
    </row>
    <row r="72" spans="1:2">
      <c r="A72" t="str">
        <f>I7</f>
        <v xml:space="preserve"> A1 guarantees secure but reliable access to trial data for authorized stakeholders, maintaining audit trails and compliance with privacy regulations (GDPR, HIPAA)</v>
      </c>
    </row>
    <row r="73" spans="1:2">
      <c r="A73" t="s">
        <v>883</v>
      </c>
      <c r="B73" t="str">
        <f>LEFT(A74,3)</f>
        <v xml:space="preserve"> A2</v>
      </c>
    </row>
    <row r="74" spans="1:2">
      <c r="A74" t="str">
        <f>I8</f>
        <v xml:space="preserve"> A2 Metadata remains accessible even if the underlying data is restricted, supporting transparency and planning</v>
      </c>
    </row>
    <row r="75" spans="1:2">
      <c r="A75" t="s">
        <v>883</v>
      </c>
      <c r="B75" t="str">
        <f>LEFT(A76,3)</f>
        <v xml:space="preserve"> I1</v>
      </c>
    </row>
    <row r="76" spans="1:2">
      <c r="A76" t="str">
        <f>I9</f>
        <v xml:space="preserve"> I1 supports interoperability between clinical trial management systems, EDC platforms, and regulatory systems </v>
      </c>
    </row>
    <row r="77" spans="1:2">
      <c r="A77" t="s">
        <v>883</v>
      </c>
      <c r="B77" t="str">
        <f>LEFT(A78,3)</f>
        <v xml:space="preserve"> I3</v>
      </c>
    </row>
    <row r="78" spans="1:2">
      <c r="A78" t="str">
        <f>I10</f>
        <v xml:space="preserve"> I3 Adoption of CDISC standards, controlled vocabularies (MedDRA, SNOMED CT), and ontologies.  Reduces mapping errors and allows cross-study comparisons and multi-study analyses</v>
      </c>
    </row>
    <row r="79" spans="1:2">
      <c r="A79" t="s">
        <v>883</v>
      </c>
      <c r="B79" t="str">
        <f>LEFT(A80,3)</f>
        <v xml:space="preserve"> R1</v>
      </c>
    </row>
    <row r="80" spans="1:2">
      <c r="A80" t="str">
        <f>I11</f>
        <v xml:space="preserve"> R1.1 ensures reproducibility of trial records and analyses, meeting strict compliance requirements</v>
      </c>
    </row>
    <row r="81" spans="1:2">
      <c r="A81" t="s">
        <v>883</v>
      </c>
      <c r="B81" t="str">
        <f>LEFT(A82,3)</f>
        <v xml:space="preserve"> R1</v>
      </c>
    </row>
    <row r="82" spans="1:2">
      <c r="A82" t="str">
        <f>I12</f>
        <v xml:space="preserve"> R1.3: Well-documented provenance, data quality metrics, and usage licenses make datasets suitable for regulatory submissions, meta-analyses, and machine learning applications. This increases the long-term value of clinical data and supports reproducibility.</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089EB9A9-8DDB-4E65-B76B-1684C336774D}"/>
    <hyperlink ref="A3" r:id="rId2" xr:uid="{D5643B7C-4649-498B-80DC-5F9EAE82521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F667DCB-6A8D-4BEC-89F8-B17EFA4EE084}">
          <x14:formula1>
            <xm:f>'2025-Personas-FAIR-cleaned'!$B$3:$B$40</xm:f>
          </x14:formula1>
          <xm:sqref>B3 E5:E12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BA2E-7F5C-4584-BB86-4C6DD2A10A85}">
  <dimension ref="A1:X90"/>
  <sheetViews>
    <sheetView workbookViewId="0">
      <selection activeCell="E3" sqref="E3"/>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401</v>
      </c>
      <c r="B3" s="98" t="s">
        <v>278</v>
      </c>
      <c r="C3" s="99" t="str">
        <f>_xlfn.XLOOKUP($B3,'2025-Personas-FAIR-cleaned'!$B$3:$B$40,'2025-Personas-FAIR-cleaned'!$D$3:$D$40)</f>
        <v xml:space="preserve"> Data Scientists  find, compile, clean, preprocess and analyze complex datasets. They interpret data trends, develop predictive models, and communicate findings to inform strategic decision-making. Data Scientists also design experiments, possess expertise in statistical methods, programming, data visualization, database management, and may have domain-specific knowledge. See also “researcher” .</v>
      </c>
      <c r="D3" s="99" t="str">
        <f>_xlfn.XLOOKUP($B3,'2025-Personas-FAIR-cleaned'!$B$3:$B$40,'2025-Personas-FAIR-cleaned'!$G$3:$G$40)</f>
        <v xml:space="preserve">R&amp;D Data Scientist; Computational Scientist; Bioinformatician; Machine Learning Engineer;  Quantitative Analyst; Applied Data Scientist; AI/ML Scientist; </v>
      </c>
      <c r="E3" s="100" t="str">
        <f>_xlfn.XLOOKUP($B3,'2025-Personas-FAIR-cleaned'!$B$3:$B$40,'2025-Personas-FAIR-cleaned'!$H$3:$H$40)</f>
        <v>Advanced_Data_Analysis_and_Insights_Professional,Citizen_Data_Scientist,Researcher,Data_Analyst,Data_Engineer</v>
      </c>
      <c r="F3" s="99" t="str">
        <f>_xlfn.XLOOKUP($B3,'2025-Personas-FAIR-cleaned'!$B$3:$B$40,'2025-Personas-FAIR-cleaned'!$K$3:$K$40)</f>
        <v>Performs analysis of R&amp;D and clinical data, integrating diverse sources such as omics datasets (RNAseq, DNAseq, proteomics, metabolomics), digital pathology images, and real-world evidence. Cleans, harmonizes, and preprocesses complex data to ensure quality and consistency. Applies statistical and computational methods to uncover biological mechanisms, identify biomarkers, and support target discovery, patient stratification, and clinical outcome prediction. Collaborates with bioinformaticians, biostatisticians, and domain experts to interpret results and translate findings into actionable insights for drug discovery and development.</v>
      </c>
      <c r="G3" s="99" t="str">
        <f>_xlfn.XLOOKUP($B3,'2025-Personas-FAIR-cleaned'!$B$3:$B$40,'2025-Personas-FAIR-cleaned'!$O$3:$O$40)</f>
        <v>Issues: Issues: different, inconsistent ontologies and spread out across different sources and sometimes not knowing that they are existing. Latent gains: implementing FAIR principles would reduce these challenges and unlock efficiency, compliance, and reuse.</v>
      </c>
      <c r="H3" s="99" t="str">
        <f>_xlfn.XLOOKUP($B3,'2025-Personas-FAIR-cleaned'!$B$3:$B$40,'2025-Personas-FAIR-cleaned'!$M$3:$M$40)</f>
        <v>FAIR data transforms the way research and analysis are conducted. When data is Findable, Accessible, Interoperable, and Reusable, it eliminates one of the greatest barriers to scientific progress—the time lost searching for, cleaning, and reconciling fragmented datasets. FAIR data allows Data Scientists to quickly discover high-quality, well-annotated datasets across R&amp;D, clinical, and real-world domains, accelerating hypothesis generation and model development. Interoperable data formats and shared standards enable seamless integration of diverse data types—from omics and imaging to patient and assay data—allowing deeper, more holistic analyses. Reusable datasets and documented workflows enhance reproducibility, making results easier to validate and build upon. Ultimately, FAIR data empowers Data Scientists to focus less on data wrangling and more on interpreting results, generating insights, and driving data-informed decisions that advance discovery, improve clinical outcomes, and reduce development timelines.</v>
      </c>
      <c r="I3" s="99" t="str">
        <f>_xlfn.XLOOKUP($B3,'2025-Personas-FAIR-cleaned'!$B$3:$B$40,'2025-Personas-FAIR-cleaned'!$P$3:$P$40)</f>
        <v>F1 guarantees persistent identifiers to trace datasets across workflows; F2 provides rich metadata that makes datasets discoverable and interpretable; A1 ensures stable access for computational pipelines; I1 supports integration of heterogeneous datasets for machine learning; R1.1 ensures reproducibility of models and analyses across studies</v>
      </c>
      <c r="J3" s="1"/>
      <c r="K3" s="1"/>
      <c r="L3" s="1"/>
      <c r="M3" s="1"/>
      <c r="N3" s="1"/>
      <c r="O3" s="1"/>
      <c r="P3" s="1"/>
      <c r="Q3" s="1"/>
      <c r="R3" s="1"/>
      <c r="S3" s="1"/>
      <c r="T3" s="1"/>
      <c r="U3" s="1"/>
      <c r="V3" s="1"/>
      <c r="W3" s="1"/>
      <c r="X3" s="1"/>
    </row>
    <row r="4" spans="1:24">
      <c r="D4" s="85" t="str" cm="1">
        <f t="array" ref="D4:D11">_xlfn.TEXTSPLIT(D3,,";")</f>
        <v>R&amp;D Data Scientist</v>
      </c>
      <c r="E4" s="85" t="str" cm="1">
        <f t="array" ref="E4:E8">_xlfn.TEXTSPLIT(E3,,",")</f>
        <v>Advanced_Data_Analysis_and_Insights_Professional</v>
      </c>
      <c r="G4" s="85" t="str" cm="1">
        <f t="array" ref="G4:G5">_xlfn.TEXTSPLIT(G3,,"Latent")</f>
        <v xml:space="preserve">Issues: Issues: different, inconsistent ontologies and spread out across different sources and sometimes not knowing that they are existing. </v>
      </c>
      <c r="I4" s="85" t="str" cm="1">
        <f t="array" ref="I4:I8">_xlfn.TEXTSPLIT(I3,,";")</f>
        <v>F1 guarantees persistent identifiers to trace datasets across workflows</v>
      </c>
    </row>
    <row r="5" spans="1:24">
      <c r="D5" s="85" t="str">
        <v xml:space="preserve"> Computational Scientist</v>
      </c>
      <c r="E5" s="97" t="str">
        <v>Citizen_Data_Scientist</v>
      </c>
      <c r="G5" t="str">
        <v xml:space="preserve"> gains: implementing FAIR principles would reduce these challenges and unlock efficiency, compliance, and reuse.</v>
      </c>
      <c r="I5" t="str">
        <v xml:space="preserve"> F2 provides rich metadata that makes datasets discoverable and interpretable</v>
      </c>
    </row>
    <row r="6" spans="1:24">
      <c r="D6" s="85" t="str">
        <v xml:space="preserve"> Bioinformatician</v>
      </c>
      <c r="E6" s="97" t="str">
        <v>Researcher</v>
      </c>
      <c r="I6" t="str">
        <v xml:space="preserve"> A1 ensures stable access for computational pipelines</v>
      </c>
    </row>
    <row r="7" spans="1:24">
      <c r="D7" s="85" t="str">
        <v xml:space="preserve"> Machine Learning Engineer</v>
      </c>
      <c r="E7" s="97" t="str">
        <v>Data_Analyst</v>
      </c>
      <c r="I7" t="str">
        <v xml:space="preserve"> I1 supports integration of heterogeneous datasets for machine learning</v>
      </c>
    </row>
    <row r="8" spans="1:24">
      <c r="D8" s="85" t="str">
        <v xml:space="preserve">  Quantitative Analyst</v>
      </c>
      <c r="E8" s="97" t="str">
        <v>Data_Engineer</v>
      </c>
      <c r="F8" s="97"/>
      <c r="I8" t="str">
        <v xml:space="preserve"> R1.1 ensures reproducibility of models and analyses across studies</v>
      </c>
    </row>
    <row r="9" spans="1:24">
      <c r="D9" s="85" t="str">
        <v xml:space="preserve"> Applied Data Scientist</v>
      </c>
      <c r="E9" s="97" t="s">
        <v>224</v>
      </c>
      <c r="F9" s="97"/>
    </row>
    <row r="10" spans="1:24">
      <c r="D10" s="85" t="str">
        <v xml:space="preserve"> AI/ML Scientist</v>
      </c>
      <c r="E10" s="97" t="s">
        <v>153</v>
      </c>
      <c r="F10" s="97"/>
    </row>
    <row r="11" spans="1:24">
      <c r="D11" t="str">
        <v xml:space="preserve"> </v>
      </c>
      <c r="E11" s="97" t="s">
        <v>441</v>
      </c>
      <c r="F11" s="97"/>
    </row>
    <row r="12" spans="1:24">
      <c r="E12" s="97"/>
      <c r="F12" s="97"/>
    </row>
    <row r="16" spans="1:24">
      <c r="A16" s="4" t="s">
        <v>868</v>
      </c>
      <c r="B16" s="56" t="s">
        <v>869</v>
      </c>
    </row>
    <row r="17" spans="1:3">
      <c r="A17" s="4" t="s">
        <v>870</v>
      </c>
      <c r="B17" t="str">
        <f>CONCATENATE(B3,".md")</f>
        <v>Data_Scientist.md</v>
      </c>
    </row>
    <row r="19" spans="1:3" s="94" customFormat="1">
      <c r="A19" s="93" t="s">
        <v>871</v>
      </c>
    </row>
    <row r="21" spans="1:3">
      <c r="A21" t="s">
        <v>872</v>
      </c>
      <c r="B21" t="str">
        <f>B3</f>
        <v>Data_Scientist</v>
      </c>
    </row>
    <row r="22" spans="1:3">
      <c r="A22" t="str">
        <f>CONCATENATE("[",B3,"]","(",B16,B3,")")</f>
        <v>[Data_Scientist](https://pistoiaalliance.github.io/FAIRMaturityMatrix/FAIR_personas/Data_Scientist)</v>
      </c>
    </row>
    <row r="24" spans="1:3">
      <c r="A24" t="s">
        <v>873</v>
      </c>
      <c r="B24" t="s">
        <v>874</v>
      </c>
      <c r="C24" t="str">
        <f>$B$3</f>
        <v>Data_Scientist</v>
      </c>
    </row>
    <row r="25" spans="1:3" ht="30">
      <c r="A25" t="s">
        <v>875</v>
      </c>
      <c r="B25" s="1" t="str">
        <f>CONCATENATE(B24," ",C24)</f>
        <v>Synonyms of  Data_Scientist</v>
      </c>
      <c r="C25" t="s">
        <v>875</v>
      </c>
    </row>
    <row r="26" spans="1:3">
      <c r="A26" t="s">
        <v>875</v>
      </c>
      <c r="B26" t="s">
        <v>876</v>
      </c>
      <c r="C26" t="s">
        <v>875</v>
      </c>
    </row>
    <row r="27" spans="1:3">
      <c r="A27" t="s">
        <v>875</v>
      </c>
      <c r="B27" t="str">
        <f t="shared" ref="B27:B33" si="0">D4</f>
        <v>R&amp;D Data Scientist</v>
      </c>
      <c r="C27" t="s">
        <v>875</v>
      </c>
    </row>
    <row r="28" spans="1:3">
      <c r="A28" t="s">
        <v>875</v>
      </c>
      <c r="B28" t="str">
        <f t="shared" si="0"/>
        <v xml:space="preserve"> Computational Scientist</v>
      </c>
      <c r="C28" t="s">
        <v>875</v>
      </c>
    </row>
    <row r="29" spans="1:3">
      <c r="A29" t="s">
        <v>875</v>
      </c>
      <c r="B29" t="str">
        <f t="shared" si="0"/>
        <v xml:space="preserve"> Bioinformatician</v>
      </c>
      <c r="C29" t="s">
        <v>875</v>
      </c>
    </row>
    <row r="30" spans="1:3">
      <c r="A30" t="s">
        <v>875</v>
      </c>
      <c r="B30" t="str">
        <f t="shared" si="0"/>
        <v xml:space="preserve"> Machine Learning Engineer</v>
      </c>
      <c r="C30" t="s">
        <v>875</v>
      </c>
    </row>
    <row r="31" spans="1:3">
      <c r="A31" t="s">
        <v>875</v>
      </c>
      <c r="B31" t="str">
        <f t="shared" si="0"/>
        <v xml:space="preserve">  Quantitative Analyst</v>
      </c>
      <c r="C31" t="s">
        <v>875</v>
      </c>
    </row>
    <row r="32" spans="1:3">
      <c r="A32" t="s">
        <v>875</v>
      </c>
      <c r="B32" t="str">
        <f t="shared" si="0"/>
        <v xml:space="preserve"> Applied Data Scientist</v>
      </c>
      <c r="C32" t="s">
        <v>875</v>
      </c>
    </row>
    <row r="33" spans="1:3">
      <c r="A33" t="s">
        <v>875</v>
      </c>
      <c r="B33" t="str">
        <f t="shared" si="0"/>
        <v xml:space="preserve"> AI/ML Scientist</v>
      </c>
      <c r="C33" t="s">
        <v>875</v>
      </c>
    </row>
    <row r="35" spans="1:3">
      <c r="A35" t="s">
        <v>873</v>
      </c>
      <c r="B35" t="s">
        <v>877</v>
      </c>
      <c r="C35" t="str">
        <f>$B$3</f>
        <v>Data_Scientist</v>
      </c>
    </row>
    <row r="36" spans="1:3">
      <c r="A36" t="str">
        <f>C3</f>
        <v xml:space="preserve"> Data Scientists  find, compile, clean, preprocess and analyze complex datasets. They interpret data trends, develop predictive models, and communicate findings to inform strategic decision-making. Data Scientists also design experiments, possess expertise in statistical methods, programming, data visualization, database management, and may have domain-specific knowledge. See also “researcher” .</v>
      </c>
    </row>
    <row r="39" spans="1:3">
      <c r="A39" s="69" t="s">
        <v>878</v>
      </c>
      <c r="B39" t="s">
        <v>879</v>
      </c>
      <c r="C39" t="str">
        <f>$B$3</f>
        <v>Data_Scientist</v>
      </c>
    </row>
    <row r="40" spans="1:3" ht="30">
      <c r="A40" t="s">
        <v>875</v>
      </c>
      <c r="B40" s="1" t="str">
        <f>CONCATENATE(B39," ",C39)</f>
        <v>FAIR persona related to  Data_Scientist</v>
      </c>
      <c r="C40" t="s">
        <v>875</v>
      </c>
    </row>
    <row r="41" spans="1:3">
      <c r="A41" t="s">
        <v>875</v>
      </c>
      <c r="B41" t="s">
        <v>876</v>
      </c>
      <c r="C41" t="s">
        <v>875</v>
      </c>
    </row>
    <row r="42" spans="1:3" ht="135">
      <c r="A42" t="s">
        <v>875</v>
      </c>
      <c r="B42" s="1" t="str">
        <f>CONCATENATE("[",E4,"]","(",$B$16,E4,")")</f>
        <v>[Advanced_Data_Analysis_and_Insights_Professional](https://pistoiaalliance.github.io/FAIRMaturityMatrix/FAIR_personas/Advanced_Data_Analysis_and_Insights_Professional)</v>
      </c>
      <c r="C42" t="s">
        <v>875</v>
      </c>
    </row>
    <row r="43" spans="1:3">
      <c r="A43" t="s">
        <v>875</v>
      </c>
      <c r="B43" t="str">
        <f t="shared" ref="B43:B49" si="1">CONCATENATE("[",E5,"]","(",$B$16,E5,")")</f>
        <v>[Citizen_Data_Scientist](https://pistoiaalliance.github.io/FAIRMaturityMatrix/FAIR_personas/Citizen_Data_Scientist)</v>
      </c>
      <c r="C43" t="s">
        <v>875</v>
      </c>
    </row>
    <row r="44" spans="1:3">
      <c r="A44" t="s">
        <v>875</v>
      </c>
      <c r="B44" t="str">
        <f t="shared" si="1"/>
        <v>[Researcher](https://pistoiaalliance.github.io/FAIRMaturityMatrix/FAIR_personas/Researcher)</v>
      </c>
      <c r="C44" t="s">
        <v>875</v>
      </c>
    </row>
    <row r="45" spans="1:3">
      <c r="A45" t="s">
        <v>875</v>
      </c>
      <c r="B45" t="str">
        <f t="shared" si="1"/>
        <v>[Data_Analyst](https://pistoiaalliance.github.io/FAIRMaturityMatrix/FAIR_personas/Data_Analyst)</v>
      </c>
      <c r="C45" t="s">
        <v>875</v>
      </c>
    </row>
    <row r="46" spans="1:3">
      <c r="A46" t="s">
        <v>875</v>
      </c>
      <c r="B46" t="str">
        <f t="shared" si="1"/>
        <v>[Data_Engineer](https://pistoiaalliance.github.io/FAIRMaturityMatrix/FAIR_personas/Data_Engineer)</v>
      </c>
      <c r="C46" t="s">
        <v>875</v>
      </c>
    </row>
    <row r="47" spans="1:3">
      <c r="A47" t="s">
        <v>875</v>
      </c>
      <c r="B47" t="str">
        <f t="shared" si="1"/>
        <v>[Curator](https://pistoiaalliance.github.io/FAIRMaturityMatrix/FAIR_personas/Curator)</v>
      </c>
      <c r="C47" t="s">
        <v>875</v>
      </c>
    </row>
    <row r="48" spans="1:3">
      <c r="A48" t="s">
        <v>875</v>
      </c>
      <c r="B48" t="str">
        <f t="shared" si="1"/>
        <v>[Business_Analyst](https://pistoiaalliance.github.io/FAIRMaturityMatrix/FAIR_personas/Business_Analyst)</v>
      </c>
      <c r="C48" t="s">
        <v>875</v>
      </c>
    </row>
    <row r="49" spans="1:3">
      <c r="A49" t="s">
        <v>875</v>
      </c>
      <c r="B49" t="str">
        <f t="shared" si="1"/>
        <v>[Subject_Matter_Expert](https://pistoiaalliance.github.io/FAIRMaturityMatrix/FAIR_personas/Subject_Matter_Expert)</v>
      </c>
      <c r="C49" t="s">
        <v>875</v>
      </c>
    </row>
    <row r="51" spans="1:3">
      <c r="A51" s="69" t="s">
        <v>878</v>
      </c>
      <c r="B51" t="s">
        <v>880</v>
      </c>
      <c r="C51" t="str">
        <f>$B$3</f>
        <v>Data_Scientist</v>
      </c>
    </row>
    <row r="52" spans="1:3">
      <c r="A52" t="str">
        <f>F3</f>
        <v>Performs analysis of R&amp;D and clinical data, integrating diverse sources such as omics datasets (RNAseq, DNAseq, proteomics, metabolomics), digital pathology images, and real-world evidence. Cleans, harmonizes, and preprocesses complex data to ensure quality and consistency. Applies statistical and computational methods to uncover biological mechanisms, identify biomarkers, and support target discovery, patient stratification, and clinical outcome prediction. Collaborates with bioinformaticians, biostatisticians, and domain experts to interpret results and translate findings into actionable insights for drug discovery and development.</v>
      </c>
    </row>
    <row r="55" spans="1:3">
      <c r="A55" t="s">
        <v>881</v>
      </c>
      <c r="B55" s="69" t="s">
        <v>882</v>
      </c>
      <c r="C55" t="str">
        <f>$B$3</f>
        <v>Data_Scientist</v>
      </c>
    </row>
    <row r="56" spans="1:3">
      <c r="A56" t="s">
        <v>883</v>
      </c>
      <c r="B56" t="s">
        <v>884</v>
      </c>
      <c r="C56" t="str">
        <f>$B$3</f>
        <v>Data_Scientist</v>
      </c>
    </row>
    <row r="57" spans="1:3">
      <c r="A57" t="str">
        <f>G4</f>
        <v xml:space="preserve">Issues: Issues: different, inconsistent ontologies and spread out across different sources and sometimes not knowing that they are existing. </v>
      </c>
    </row>
    <row r="58" spans="1:3">
      <c r="A58" t="s">
        <v>883</v>
      </c>
      <c r="B58" t="s">
        <v>885</v>
      </c>
      <c r="C58" t="str">
        <f>$B$3</f>
        <v>Data_Scientist</v>
      </c>
    </row>
    <row r="59" spans="1:3">
      <c r="A59" t="str">
        <f>CONCATENATE("Latent ",G5)</f>
        <v>Latent  gains: implementing FAIR principles would reduce these challenges and unlock efficiency, compliance, and reuse.</v>
      </c>
    </row>
    <row r="62" spans="1:3">
      <c r="A62" t="s">
        <v>873</v>
      </c>
      <c r="B62" s="69" t="s">
        <v>886</v>
      </c>
      <c r="C62" t="str">
        <f>$B$3</f>
        <v>Data_Scientist</v>
      </c>
    </row>
    <row r="63" spans="1:3">
      <c r="A63" s="69" t="str">
        <f>H3</f>
        <v>FAIR data transforms the way research and analysis are conducted. When data is Findable, Accessible, Interoperable, and Reusable, it eliminates one of the greatest barriers to scientific progress—the time lost searching for, cleaning, and reconciling fragmented datasets. FAIR data allows Data Scientists to quickly discover high-quality, well-annotated datasets across R&amp;D, clinical, and real-world domains, accelerating hypothesis generation and model development. Interoperable data formats and shared standards enable seamless integration of diverse data types—from omics and imaging to patient and assay data—allowing deeper, more holistic analyses. Reusable datasets and documented workflows enhance reproducibility, making results easier to validate and build upon. Ultimately, FAIR data empowers Data Scientists to focus less on data wrangling and more on interpreting results, generating insights, and driving data-informed decisions that advance discovery, improve clinical outcomes, and reduce development timelines.</v>
      </c>
    </row>
    <row r="64" spans="1:3">
      <c r="B64" s="69"/>
    </row>
    <row r="65" spans="1:2">
      <c r="A65" t="s">
        <v>883</v>
      </c>
      <c r="B65" t="str">
        <f>LEFT(A66,3)</f>
        <v xml:space="preserve">F1 </v>
      </c>
    </row>
    <row r="66" spans="1:2">
      <c r="A66" t="str">
        <f>I4</f>
        <v>F1 guarantees persistent identifiers to trace datasets across workflows</v>
      </c>
    </row>
    <row r="67" spans="1:2">
      <c r="A67" t="s">
        <v>883</v>
      </c>
      <c r="B67" t="str">
        <f>LEFT(A68,3)</f>
        <v xml:space="preserve"> F2</v>
      </c>
    </row>
    <row r="68" spans="1:2">
      <c r="A68" t="str">
        <f>I5</f>
        <v xml:space="preserve"> F2 provides rich metadata that makes datasets discoverable and interpretable</v>
      </c>
    </row>
    <row r="69" spans="1:2">
      <c r="A69" t="s">
        <v>883</v>
      </c>
      <c r="B69" t="str">
        <f>LEFT(A70,3)</f>
        <v xml:space="preserve"> A1</v>
      </c>
    </row>
    <row r="70" spans="1:2">
      <c r="A70" t="str">
        <f>I6</f>
        <v xml:space="preserve"> A1 ensures stable access for computational pipelines</v>
      </c>
    </row>
    <row r="71" spans="1:2">
      <c r="A71" t="s">
        <v>883</v>
      </c>
      <c r="B71" t="str">
        <f>LEFT(A72,3)</f>
        <v xml:space="preserve"> I1</v>
      </c>
    </row>
    <row r="72" spans="1:2">
      <c r="A72" t="str">
        <f>I7</f>
        <v xml:space="preserve"> I1 supports integration of heterogeneous datasets for machine learning</v>
      </c>
    </row>
    <row r="73" spans="1:2">
      <c r="A73" t="s">
        <v>883</v>
      </c>
      <c r="B73" t="str">
        <f>LEFT(A74,3)</f>
        <v xml:space="preserve"> R1</v>
      </c>
    </row>
    <row r="74" spans="1:2">
      <c r="A74" t="str">
        <f>I8</f>
        <v xml:space="preserve"> R1.1 ensures reproducibility of models and analyses across studies</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C6C1D0B0-369D-405F-9689-1D97DE47716E}"/>
    <hyperlink ref="A3" r:id="rId2" xr:uid="{84A911A7-1C2B-4B68-A42C-BBF68C9A836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BE3610-D7C5-468E-8272-870FCBE6FAFB}">
          <x14:formula1>
            <xm:f>'2025-Personas-FAIR-cleaned'!$B$3:$B$40</xm:f>
          </x14:formula1>
          <xm:sqref>B3 E5:E12 F8:F12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E48A1-F7EB-47DC-AE89-E0E35777E55B}">
  <dimension ref="A1:X90"/>
  <sheetViews>
    <sheetView topLeftCell="A51" workbookViewId="0">
      <selection activeCell="D66" sqref="D66"/>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401</v>
      </c>
      <c r="B3" s="98" t="s">
        <v>303</v>
      </c>
      <c r="C3" s="99" t="str">
        <f>_xlfn.XLOOKUP($B3,'2025-Personas-FAIR-cleaned'!$B$3:$B$40,'2025-Personas-FAIR-cleaned'!$D$3:$D$40)</f>
        <v xml:space="preserve">Data stewardship encompasses the set of practices that ensure data is properly collected, stored, maintained, and shared throughout its entire lifecycle. FAIR data stewardship extends traditional data management by introducing a coordinated framework that ensures data is (or becomes) and remains compliant to Findable, Accessible, Interoperable, and Reusable (FAIR) principles.
The core responsibilities of a Data Steward vary widely, ranging from policy development and advisory functions to operational, technical, and IT-related activities. These responsibilities may differ across research-performing and data-driven organizations, where job titles and scopes of work may also vary. Data stewardship roles can be coordination-focused, policy-oriented, research-oriented, or infrastructure-oriented, depending on organizational needs and maturity. A Data Steward may also serve as a lead role within a data governance initiative, taking ownership of data assets and collaborating with business and technical stakeholders to define and implement governance objectives. This role is closely linked to maintaining data integrity and control within data governance and master data management frameworks. 
</v>
      </c>
      <c r="D3" s="99" t="str">
        <f>_xlfn.XLOOKUP($B3,'2025-Personas-FAIR-cleaned'!$B$3:$B$40,'2025-Personas-FAIR-cleaned'!$G$3:$G$40)</f>
        <v>Data Governance Steward; Metadata Steward; Records Steward; Knowledge Scientist</v>
      </c>
      <c r="E3" s="100" t="str">
        <f>_xlfn.XLOOKUP($B3,'2025-Personas-FAIR-cleaned'!$B$3:$B$40,'2025-Personas-FAIR-cleaned'!$H$3:$H$40)</f>
        <v>Master_Data_Manager,Reference_Data_Manager,Data_Owner,Data_Protection_Officer,Data_Quality_Manager,Subject_Matter_Expert,Data_Standards_and_Governance_Expert,Data_Integration_Specialist,FAIR_Community_Manager,Curator, Ontologist,</v>
      </c>
      <c r="F3" s="99" t="str">
        <f>_xlfn.XLOOKUP($B3,'2025-Personas-FAIR-cleaned'!$B$3:$B$40,'2025-Personas-FAIR-cleaned'!$K$3:$K$40)</f>
        <v xml:space="preserve">A FAIR Data Steward serves as a connector between scientific, regulatory, business, and technical functions, ensuring that data remains accurate, compliant, and aligned with both organizational and FAIR principles. In the pharmaceutical context, the role underpins data integrity and regulatory compliance while enabling data reuse across R&amp;D, manufacturing, and post-market activities for example. The FAIR Data Steward may help define and enforces governance policies, establishe and monitor data quality standards, and ensures that metadata and provenance information are complete, standardized, and persistently linked to underlying datasets.
This role requires continuous collaboration with multiple stakeholders. Working closely with the Master Data Manager and Reference Data Manager, the steward ensures harmonized and trusted master and reference data. In partnership with the Data Owner and Data Protection Officer, they clarify accountability and ensure adherence to privacy and data protection regulations. Together with the Data Quality Manager and Subject Matter Experts, they validate data definitions, ensure high-quality standards, and maintain contextual relevance. Coordination with the Data Standards and Governance Expert and the Data Integration Specialist guarantees alignment with enterprise standards and seamless interoperability across systems. Engagement with the FAIR Community Manager, Curator, and Ontologist supports consistent application of semantic models, promotes best practices, and strengthens the organization’s FAIR culture.
Through these collaborations, the FAIR Data Steward acts as an integrator who embeds FAIR principles into daily operations, transforming data into a trusted, reusable, and compliant asset. This enables the organization to achieve greater efficiency, regulatory readiness, and scientific and business value throughout the pharmaceutical data lifecycle. They can also act as a link between business and technical teams, ensuring data is accurate, compliant, and aligned with organizational goals.
They define governance policies, procedures, and roles, set and maintain data quality rules, monitor KPIs, and resolve issues with relevant stakeholders. They may (alond or inc oordination with other FAIR personas) manage master data to maintain a single source of truth, ensure proper integration and synchronization, and keep metadata and data catalogs accurate and accessible.	</v>
      </c>
      <c r="G3" s="99" t="str">
        <f>_xlfn.XLOOKUP($B3,'2025-Personas-FAIR-cleaned'!$B$3:$B$40,'2025-Personas-FAIR-cleaned'!$O$3:$O$40)</f>
        <v>Issues: Typical issues for a Data Steward include unclear or overlapping role definitions, leading to confusion or gaps in data stewardship and governance. They often struggle with poor data quality and incomplete or inconsistent definitions, which undermine trust and value in organizational data. Cultural resistance—where colleagues see new governance practices as bureaucratic or disruptive—can make adoption challenging. Data stewards must also navigate increasing complexity in regulatory compliance, data security, and integration of new technologies. Finally, many face resource constraints, such as lack of time, training, or effective tools, reducing their overall impac. Latent gains: implementing FAIR principles would reduce these challenges and unlock efficiency, compliance, and reuse.</v>
      </c>
      <c r="H3" s="99" t="str">
        <f>_xlfn.XLOOKUP($B3,'2025-Personas-FAIR-cleaned'!$B$3:$B$40,'2025-Personas-FAIR-cleaned'!$M$3:$M$40)</f>
        <v>The adoption of FAIR principles enhances data quality, trust, and discoverability while minimizing duplication of effort. FAIR provides a structured framework. By improving data quality, consistency, and documentation, it rebuilds trust in organizational data and ensures a reliable foundation for analytics and decision-making. FAIR’s emphasis on metadata, accessibility, and interoperability supports stronger compliance with regulatory frameworks, simplifies auditability, and streamlines integration across systems. Moreover, it helps overcome cultural resistance by embedding transparent, value-driven practices that demonstrate efficiency and impact. Ultimately, FAIR empowers Data Stewards to achieve greater operational efficiency, foster collaboration, and enable sustainable data reuse across the organization.</v>
      </c>
      <c r="I3" s="99" t="str">
        <f>_xlfn.XLOOKUP($B3,'2025-Personas-FAIR-cleaned'!$B$3:$B$40,'2025-Personas-FAIR-cleaned'!$P$3:$P$40)</f>
        <v>F1 ensures identifiers to enforce consistent governance; A1 guarantees accessibility for governance workflows; R1.1 enables reproducible governance evidence; R1.3 supports reuse by aligning with community practices</v>
      </c>
      <c r="J3" s="1"/>
      <c r="K3" s="1"/>
      <c r="L3" s="1"/>
      <c r="M3" s="1"/>
      <c r="N3" s="1"/>
      <c r="O3" s="1"/>
      <c r="P3" s="1"/>
      <c r="Q3" s="1"/>
      <c r="R3" s="1"/>
      <c r="S3" s="1"/>
      <c r="T3" s="1"/>
      <c r="U3" s="1"/>
      <c r="V3" s="1"/>
      <c r="W3" s="1"/>
      <c r="X3" s="1"/>
    </row>
    <row r="4" spans="1:24">
      <c r="D4" s="85" t="str" cm="1">
        <f t="array" ref="D4:D7">_xlfn.TEXTSPLIT(D3,,";")</f>
        <v>Data Governance Steward</v>
      </c>
      <c r="E4" s="85" t="str" cm="1">
        <f t="array" ref="E4:E15">_xlfn.TEXTSPLIT(E3,,",")</f>
        <v>Master_Data_Manager</v>
      </c>
      <c r="G4" s="85" t="str" cm="1">
        <f t="array" ref="G4:G5">_xlfn.TEXTSPLIT(G3,,"Latent")</f>
        <v xml:space="preserve">Issues: Typical issues for a Data Steward include unclear or overlapping role definitions, leading to confusion or gaps in data stewardship and governance. They often struggle with poor data quality and incomplete or inconsistent definitions, which undermine trust and value in organizational data. Cultural resistance—where colleagues see new governance practices as bureaucratic or disruptive—can make adoption challenging. Data stewards must also navigate increasing complexity in regulatory compliance, data security, and integration of new technologies. Finally, many face resource constraints, such as lack of time, training, or effective tools, reducing their overall impac. </v>
      </c>
      <c r="I4" s="85" t="str" cm="1">
        <f t="array" ref="I4:I7">_xlfn.TEXTSPLIT(I3,,";")</f>
        <v>F1 ensures identifiers to enforce consistent governance</v>
      </c>
    </row>
    <row r="5" spans="1:24">
      <c r="D5" s="85" t="str">
        <v xml:space="preserve"> Metadata Steward</v>
      </c>
      <c r="E5" s="97" t="str">
        <v>Reference_Data_Manager</v>
      </c>
      <c r="G5" t="str">
        <v xml:space="preserve"> gains: implementing FAIR principles would reduce these challenges and unlock efficiency, compliance, and reuse.</v>
      </c>
      <c r="I5" t="str">
        <v xml:space="preserve"> A1 guarantees accessibility for governance workflows</v>
      </c>
    </row>
    <row r="6" spans="1:24">
      <c r="D6" s="85" t="str">
        <v xml:space="preserve"> Records Steward</v>
      </c>
      <c r="E6" s="97" t="str">
        <v>Data_Owner</v>
      </c>
      <c r="I6" t="str">
        <v xml:space="preserve"> R1.1 enables reproducible governance evidence</v>
      </c>
    </row>
    <row r="7" spans="1:24">
      <c r="D7" s="85" t="str">
        <v xml:space="preserve"> Knowledge Scientist</v>
      </c>
      <c r="E7" s="97" t="str">
        <v>Data_Protection_Officer</v>
      </c>
      <c r="I7" t="str">
        <v xml:space="preserve"> R1.3 supports reuse by aligning with community practices</v>
      </c>
    </row>
    <row r="8" spans="1:24">
      <c r="D8" s="85"/>
      <c r="E8" s="97" t="str">
        <v>Data_Quality_Manager</v>
      </c>
    </row>
    <row r="9" spans="1:24">
      <c r="D9" s="85"/>
      <c r="E9" s="97" t="str">
        <v>Subject_Matter_Expert</v>
      </c>
    </row>
    <row r="10" spans="1:24">
      <c r="D10" s="85"/>
      <c r="E10" s="97" t="str">
        <v>Data_Standards_and_Governance_Expert</v>
      </c>
    </row>
    <row r="11" spans="1:24">
      <c r="E11" s="97" t="str">
        <v>Data_Integration_Specialist</v>
      </c>
    </row>
    <row r="12" spans="1:24">
      <c r="E12" s="97" t="str">
        <v>FAIR_Community_Manager</v>
      </c>
    </row>
    <row r="13" spans="1:24">
      <c r="E13" t="str">
        <v>Curator</v>
      </c>
    </row>
    <row r="14" spans="1:24">
      <c r="E14" t="str">
        <v xml:space="preserve"> Ontologist</v>
      </c>
    </row>
    <row r="15" spans="1:24">
      <c r="E15" t="str">
        <v/>
      </c>
    </row>
    <row r="16" spans="1:24">
      <c r="A16" s="4" t="s">
        <v>868</v>
      </c>
      <c r="B16" s="56" t="s">
        <v>869</v>
      </c>
    </row>
    <row r="17" spans="1:3">
      <c r="A17" s="4" t="s">
        <v>870</v>
      </c>
      <c r="B17" t="str">
        <f>CONCATENATE(B3,".md")</f>
        <v>Data_Steward.md</v>
      </c>
    </row>
    <row r="19" spans="1:3" s="94" customFormat="1">
      <c r="A19" s="93" t="s">
        <v>871</v>
      </c>
    </row>
    <row r="21" spans="1:3">
      <c r="A21" t="s">
        <v>872</v>
      </c>
      <c r="B21" t="str">
        <f>B3</f>
        <v>Data_Steward</v>
      </c>
    </row>
    <row r="22" spans="1:3">
      <c r="A22" t="str">
        <f>CONCATENATE("[",B3,"]","(",B16,B3,")")</f>
        <v>[Data_Steward](https://pistoiaalliance.github.io/FAIRMaturityMatrix/FAIR_personas/Data_Steward)</v>
      </c>
    </row>
    <row r="24" spans="1:3">
      <c r="A24" t="s">
        <v>873</v>
      </c>
      <c r="B24" t="s">
        <v>874</v>
      </c>
      <c r="C24" t="str">
        <f>$B$3</f>
        <v>Data_Steward</v>
      </c>
    </row>
    <row r="25" spans="1:3" ht="30">
      <c r="A25" t="s">
        <v>875</v>
      </c>
      <c r="B25" s="1" t="str">
        <f>CONCATENATE(B24," ",C24)</f>
        <v>Synonyms of  Data_Steward</v>
      </c>
      <c r="C25" t="s">
        <v>875</v>
      </c>
    </row>
    <row r="26" spans="1:3">
      <c r="A26" t="s">
        <v>875</v>
      </c>
      <c r="B26" t="s">
        <v>876</v>
      </c>
      <c r="C26" t="s">
        <v>875</v>
      </c>
    </row>
    <row r="27" spans="1:3">
      <c r="A27" t="s">
        <v>875</v>
      </c>
      <c r="B27" t="str">
        <f t="shared" ref="B27:B33" si="0">D4</f>
        <v>Data Governance Steward</v>
      </c>
      <c r="C27" t="s">
        <v>875</v>
      </c>
    </row>
    <row r="28" spans="1:3">
      <c r="A28" t="s">
        <v>875</v>
      </c>
      <c r="B28" t="str">
        <f t="shared" si="0"/>
        <v xml:space="preserve"> Metadata Steward</v>
      </c>
      <c r="C28" t="s">
        <v>875</v>
      </c>
    </row>
    <row r="29" spans="1:3">
      <c r="A29" t="s">
        <v>875</v>
      </c>
      <c r="B29" t="str">
        <f t="shared" si="0"/>
        <v xml:space="preserve"> Records Steward</v>
      </c>
      <c r="C29" t="s">
        <v>875</v>
      </c>
    </row>
    <row r="30" spans="1:3">
      <c r="A30" t="s">
        <v>875</v>
      </c>
      <c r="B30" t="str">
        <f t="shared" si="0"/>
        <v xml:space="preserve"> Knowledge Scientist</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Data_Steward</v>
      </c>
    </row>
    <row r="36" spans="1:3">
      <c r="A36" t="str">
        <f>C3</f>
        <v xml:space="preserve">Data stewardship encompasses the set of practices that ensure data is properly collected, stored, maintained, and shared throughout its entire lifecycle. FAIR data stewardship extends traditional data management by introducing a coordinated framework that ensures data is (or becomes) and remains compliant to Findable, Accessible, Interoperable, and Reusable (FAIR) principles.
The core responsibilities of a Data Steward vary widely, ranging from policy development and advisory functions to operational, technical, and IT-related activities. These responsibilities may differ across research-performing and data-driven organizations, where job titles and scopes of work may also vary. Data stewardship roles can be coordination-focused, policy-oriented, research-oriented, or infrastructure-oriented, depending on organizational needs and maturity. A Data Steward may also serve as a lead role within a data governance initiative, taking ownership of data assets and collaborating with business and technical stakeholders to define and implement governance objectives. This role is closely linked to maintaining data integrity and control within data governance and master data management frameworks. 
</v>
      </c>
    </row>
    <row r="39" spans="1:3">
      <c r="A39" s="69" t="s">
        <v>878</v>
      </c>
      <c r="B39" t="s">
        <v>879</v>
      </c>
      <c r="C39" t="str">
        <f>$B$3</f>
        <v>Data_Steward</v>
      </c>
    </row>
    <row r="40" spans="1:3" ht="30">
      <c r="A40" t="s">
        <v>875</v>
      </c>
      <c r="B40" s="1" t="str">
        <f>CONCATENATE(B39," ",C39)</f>
        <v>FAIR persona related to  Data_Steward</v>
      </c>
      <c r="C40" t="s">
        <v>875</v>
      </c>
    </row>
    <row r="41" spans="1:3">
      <c r="A41" t="s">
        <v>875</v>
      </c>
      <c r="B41" t="s">
        <v>876</v>
      </c>
      <c r="C41" t="s">
        <v>875</v>
      </c>
    </row>
    <row r="42" spans="1:3" ht="90">
      <c r="A42" t="s">
        <v>875</v>
      </c>
      <c r="B42" s="1" t="str">
        <f>CONCATENATE("[",E4,"]","(",$B$16,E4,")")</f>
        <v>[Master_Data_Manager](https://pistoiaalliance.github.io/FAIRMaturityMatrix/FAIR_personas/Master_Data_Manager)</v>
      </c>
      <c r="C42" t="s">
        <v>875</v>
      </c>
    </row>
    <row r="43" spans="1:3">
      <c r="A43" t="s">
        <v>875</v>
      </c>
      <c r="B43" t="str">
        <f t="shared" ref="B43:B49" si="1">CONCATENATE("[",E5,"]","(",$B$16,E5,")")</f>
        <v>[Reference_Data_Manager](https://pistoiaalliance.github.io/FAIRMaturityMatrix/FAIR_personas/Reference_Data_Manager)</v>
      </c>
      <c r="C43" t="s">
        <v>875</v>
      </c>
    </row>
    <row r="44" spans="1:3">
      <c r="A44" t="s">
        <v>875</v>
      </c>
      <c r="B44" t="str">
        <f t="shared" si="1"/>
        <v>[Data_Owner](https://pistoiaalliance.github.io/FAIRMaturityMatrix/FAIR_personas/Data_Owner)</v>
      </c>
      <c r="C44" t="s">
        <v>875</v>
      </c>
    </row>
    <row r="45" spans="1:3">
      <c r="A45" t="s">
        <v>875</v>
      </c>
      <c r="B45" t="str">
        <f t="shared" si="1"/>
        <v>[Data_Protection_Officer](https://pistoiaalliance.github.io/FAIRMaturityMatrix/FAIR_personas/Data_Protection_Officer)</v>
      </c>
      <c r="C45" t="s">
        <v>875</v>
      </c>
    </row>
    <row r="46" spans="1:3">
      <c r="A46" t="s">
        <v>875</v>
      </c>
      <c r="B46" t="str">
        <f t="shared" si="1"/>
        <v>[Data_Quality_Manager](https://pistoiaalliance.github.io/FAIRMaturityMatrix/FAIR_personas/Data_Quality_Manager)</v>
      </c>
      <c r="C46" t="s">
        <v>875</v>
      </c>
    </row>
    <row r="47" spans="1:3">
      <c r="A47" t="s">
        <v>875</v>
      </c>
      <c r="B47" t="str">
        <f t="shared" si="1"/>
        <v>[Subject_Matter_Expert](https://pistoiaalliance.github.io/FAIRMaturityMatrix/FAIR_personas/Subject_Matter_Expert)</v>
      </c>
      <c r="C47" t="s">
        <v>875</v>
      </c>
    </row>
    <row r="48" spans="1:3">
      <c r="A48" t="s">
        <v>875</v>
      </c>
      <c r="B48" t="str">
        <f t="shared" si="1"/>
        <v>[Data_Standards_and_Governance_Expert](https://pistoiaalliance.github.io/FAIRMaturityMatrix/FAIR_personas/Data_Standards_and_Governance_Expert)</v>
      </c>
      <c r="C48" t="s">
        <v>875</v>
      </c>
    </row>
    <row r="49" spans="1:3">
      <c r="A49" t="s">
        <v>875</v>
      </c>
      <c r="B49" t="str">
        <f t="shared" si="1"/>
        <v>[Data_Integration_Specialist](https://pistoiaalliance.github.io/FAIRMaturityMatrix/FAIR_personas/Data_Integration_Specialist)</v>
      </c>
      <c r="C49" t="s">
        <v>875</v>
      </c>
    </row>
    <row r="51" spans="1:3">
      <c r="A51" s="69" t="s">
        <v>878</v>
      </c>
      <c r="B51" t="s">
        <v>880</v>
      </c>
      <c r="C51" t="str">
        <f>$B$3</f>
        <v>Data_Steward</v>
      </c>
    </row>
    <row r="52" spans="1:3">
      <c r="A52" t="str">
        <f>F3</f>
        <v xml:space="preserve">A FAIR Data Steward serves as a connector between scientific, regulatory, business, and technical functions, ensuring that data remains accurate, compliant, and aligned with both organizational and FAIR principles. In the pharmaceutical context, the role underpins data integrity and regulatory compliance while enabling data reuse across R&amp;D, manufacturing, and post-market activities for example. The FAIR Data Steward may help define and enforces governance policies, establishe and monitor data quality standards, and ensures that metadata and provenance information are complete, standardized, and persistently linked to underlying datasets.
This role requires continuous collaboration with multiple stakeholders. Working closely with the Master Data Manager and Reference Data Manager, the steward ensures harmonized and trusted master and reference data. In partnership with the Data Owner and Data Protection Officer, they clarify accountability and ensure adherence to privacy and data protection regulations. Together with the Data Quality Manager and Subject Matter Experts, they validate data definitions, ensure high-quality standards, and maintain contextual relevance. Coordination with the Data Standards and Governance Expert and the Data Integration Specialist guarantees alignment with enterprise standards and seamless interoperability across systems. Engagement with the FAIR Community Manager, Curator, and Ontologist supports consistent application of semantic models, promotes best practices, and strengthens the organization’s FAIR culture.
Through these collaborations, the FAIR Data Steward acts as an integrator who embeds FAIR principles into daily operations, transforming data into a trusted, reusable, and compliant asset. This enables the organization to achieve greater efficiency, regulatory readiness, and scientific and business value throughout the pharmaceutical data lifecycle. They can also act as a link between business and technical teams, ensuring data is accurate, compliant, and aligned with organizational goals.
They define governance policies, procedures, and roles, set and maintain data quality rules, monitor KPIs, and resolve issues with relevant stakeholders. They may (alond or inc oordination with other FAIR personas) manage master data to maintain a single source of truth, ensure proper integration and synchronization, and keep metadata and data catalogs accurate and accessible.	</v>
      </c>
    </row>
    <row r="55" spans="1:3">
      <c r="A55" t="s">
        <v>881</v>
      </c>
      <c r="B55" s="69" t="s">
        <v>882</v>
      </c>
      <c r="C55" t="str">
        <f>$B$3</f>
        <v>Data_Steward</v>
      </c>
    </row>
    <row r="56" spans="1:3">
      <c r="A56" t="s">
        <v>883</v>
      </c>
      <c r="B56" t="s">
        <v>884</v>
      </c>
      <c r="C56" t="str">
        <f>$B$3</f>
        <v>Data_Steward</v>
      </c>
    </row>
    <row r="57" spans="1:3">
      <c r="A57" t="str">
        <f>G4</f>
        <v xml:space="preserve">Issues: Typical issues for a Data Steward include unclear or overlapping role definitions, leading to confusion or gaps in data stewardship and governance. They often struggle with poor data quality and incomplete or inconsistent definitions, which undermine trust and value in organizational data. Cultural resistance—where colleagues see new governance practices as bureaucratic or disruptive—can make adoption challenging. Data stewards must also navigate increasing complexity in regulatory compliance, data security, and integration of new technologies. Finally, many face resource constraints, such as lack of time, training, or effective tools, reducing their overall impac. </v>
      </c>
    </row>
    <row r="58" spans="1:3">
      <c r="A58" t="s">
        <v>883</v>
      </c>
      <c r="B58" t="s">
        <v>885</v>
      </c>
      <c r="C58" t="str">
        <f>$B$3</f>
        <v>Data_Steward</v>
      </c>
    </row>
    <row r="59" spans="1:3">
      <c r="A59" t="str">
        <f>CONCATENATE("Latent ",G5)</f>
        <v>Latent  gains: implementing FAIR principles would reduce these challenges and unlock efficiency, compliance, and reuse.</v>
      </c>
    </row>
    <row r="62" spans="1:3">
      <c r="A62" t="s">
        <v>873</v>
      </c>
      <c r="B62" s="69" t="s">
        <v>886</v>
      </c>
      <c r="C62" t="str">
        <f>$B$3</f>
        <v>Data_Steward</v>
      </c>
    </row>
    <row r="63" spans="1:3">
      <c r="A63" s="69" t="str">
        <f>H3</f>
        <v>The adoption of FAIR principles enhances data quality, trust, and discoverability while minimizing duplication of effort. FAIR provides a structured framework. By improving data quality, consistency, and documentation, it rebuilds trust in organizational data and ensures a reliable foundation for analytics and decision-making. FAIR’s emphasis on metadata, accessibility, and interoperability supports stronger compliance with regulatory frameworks, simplifies auditability, and streamlines integration across systems. Moreover, it helps overcome cultural resistance by embedding transparent, value-driven practices that demonstrate efficiency and impact. Ultimately, FAIR empowers Data Stewards to achieve greater operational efficiency, foster collaboration, and enable sustainable data reuse across the organization.</v>
      </c>
    </row>
    <row r="64" spans="1:3">
      <c r="B64" s="69"/>
    </row>
    <row r="65" spans="1:2">
      <c r="A65" t="s">
        <v>883</v>
      </c>
      <c r="B65" t="str">
        <f>LEFT(A66,3)</f>
        <v xml:space="preserve">F1 </v>
      </c>
    </row>
    <row r="66" spans="1:2">
      <c r="A66" t="str">
        <f>I4</f>
        <v>F1 ensures identifiers to enforce consistent governance</v>
      </c>
    </row>
    <row r="67" spans="1:2">
      <c r="A67" t="s">
        <v>883</v>
      </c>
      <c r="B67" t="str">
        <f>LEFT(A68,3)</f>
        <v xml:space="preserve"> A1</v>
      </c>
    </row>
    <row r="68" spans="1:2">
      <c r="A68" t="str">
        <f>I5</f>
        <v xml:space="preserve"> A1 guarantees accessibility for governance workflows</v>
      </c>
    </row>
    <row r="69" spans="1:2">
      <c r="A69" t="s">
        <v>883</v>
      </c>
      <c r="B69" t="str">
        <f>LEFT(A70,3)</f>
        <v xml:space="preserve"> R1</v>
      </c>
    </row>
    <row r="70" spans="1:2">
      <c r="A70" t="str">
        <f>I6</f>
        <v xml:space="preserve"> R1.1 enables reproducible governance evidence</v>
      </c>
    </row>
    <row r="71" spans="1:2">
      <c r="A71" t="s">
        <v>883</v>
      </c>
      <c r="B71" t="str">
        <f>LEFT(A72,3)</f>
        <v xml:space="preserve"> R1</v>
      </c>
    </row>
    <row r="72" spans="1:2">
      <c r="A72" t="str">
        <f>I7</f>
        <v xml:space="preserve"> R1.3 supports reuse by aligning with community practices</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F0BD1879-BDA1-43D4-9C3D-DC66036B4DD0}"/>
    <hyperlink ref="A3" r:id="rId2" xr:uid="{6BA95917-F05F-45F1-AD2F-9D37218308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DCA803F-E186-4894-AAAB-2EFB48C70A0D}">
          <x14:formula1>
            <xm:f>'2025-Personas-FAIR-cleaned'!$B$3:$B$40</xm:f>
          </x14:formula1>
          <xm:sqref>B3 E5:E12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2BB50-EF38-44C2-BEF3-8D620B2C251F}">
  <dimension ref="A1:X90"/>
  <sheetViews>
    <sheetView topLeftCell="A63" workbookViewId="0">
      <selection activeCell="C89" sqref="C89"/>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401</v>
      </c>
      <c r="B3" s="98" t="s">
        <v>402</v>
      </c>
      <c r="C3" s="99" t="str">
        <f>_xlfn.XLOOKUP($B3,'2025-Personas-FAIR-cleaned'!$B$3:$B$40,'2025-Personas-FAIR-cleaned'!$D$3:$D$40)</f>
        <v>Coordinates -cross-functional- efforts to deliver projects or initiative on time, within budget, and in compliance with regulatory standards. They oversee projects in -or spanning- research, clinical development, manufacturing, regulatory submissions, and commercialization domains. Acting as the connective link between scientific, operational, and business teams, the Project Manager ensures alignment of objectives, resources, and timelines , including across the drug development lifecycle. They manage risk, track milestones, and facilitate decision-making through clear reporting and proactive issue resolution. In addition, they drive collaboration among internal teams, external partners, and vendors while ensuring adherence to GxP and quality standards.</v>
      </c>
      <c r="D3" s="99" t="str">
        <f>_xlfn.XLOOKUP($B3,'2025-Personas-FAIR-cleaned'!$B$3:$B$40,'2025-Personas-FAIR-cleaned'!$G$3:$G$40)</f>
        <v>Portfolio Manager; Program Manager; Program Lead; Clinical Project Manager; Project Lead; Project Coordinator; Delivery Manager; Principal investigator;</v>
      </c>
      <c r="E3" s="100" t="str">
        <f>_xlfn.XLOOKUP($B3,'2025-Personas-FAIR-cleaned'!$B$3:$B$40,'2025-Personas-FAIR-cleaned'!$H$3:$H$40)</f>
        <v>FAIR_Community_Manager,FAIR_Data_Architect,Business_Owner,Clinical_Data_Manager,Data_Engineer,Data_Owner,Lab_Manager,Project_Manager,Technology_Leader</v>
      </c>
      <c r="F3" s="99" t="str">
        <f>_xlfn.XLOOKUP($B3,'2025-Personas-FAIR-cleaned'!$B$3:$B$40,'2025-Personas-FAIR-cleaned'!$K$3:$K$40)</f>
        <v>Responsible for planning, coordinating, and overseeing projects. Their tasks include defining project scope, timelines, budgets, and deliverables;  tracking progress; managing risks and dependencies; and ensuring alignment with business objectives and regulatory requirements. They organize meetings, produce status reports, formulate options for decision makers, and act as the bridge between technical teams, leadership, and stakeholders.</v>
      </c>
      <c r="G3" s="99" t="str">
        <f>_xlfn.XLOOKUP($B3,'2025-Personas-FAIR-cleaned'!$B$3:$B$40,'2025-Personas-FAIR-cleaned'!$O$3:$O$40)</f>
        <v>Issues: struggle with fragmented information scattered across silos, making it difficult to track progress, dependencies, and deliverables efficiently. Inconsistent or incomplete data across R&amp;D, clinical, and regulatory systems causes delays in reporting and decision-making, while limited visibility and traceability often result in duplicated work, misaligned timelines, and poor impact assessment. Manual data consolidation consumes valuable time that could be spent on strategic coordination and risk management. Additionally, poor interoperability between tools and vendors increases rework, handover errors, and operational costs. The lack of standardized metadata and provenance also heightens regulatory and audit risks, as documentation remains inconsistent and incomplete.
Latent gains: By implementing FAIR principles, these challenges can be transformed into strategic advantages. Real-time visibility of project data across domains enables proactive monitoring and faster decision-making. Standardized, interoperable data structures streamline collaboration across teams and vendors, while automated reporting replaces manual tracking, improving both accuracy and efficiency. Traceable, reusable data strengthen compliance readiness and reduce audit burden. Clear data ownership and reduced redundancy optimize resource allocation and project planning, while predictive insights from high-quality, integrated data enhance risk management and support strategic portfolio prioritization across the entire drug development lifecycle.</v>
      </c>
      <c r="H3" s="99" t="str">
        <f>_xlfn.XLOOKUP($B3,'2025-Personas-FAIR-cleaned'!$B$3:$B$40,'2025-Personas-FAIR-cleaned'!$M$3:$M$40)</f>
        <v>For a Project Manager, the implementation of FAIR principles delivers benefits in efficiency, coordination, and project quality. By ensuring that data is findable, accessible, interoperable, and reusable, FAIR provides a structured framework that simplifies planning, execution, and oversight. It enables more predictable project outcomes by making data discoverable and usable from the outset, reducing delays caused by integration, validation, or quality issues. Reusable, high-quality data accelerates timelines, minimizes duplication of effort, and ensures consistent compliance with organizational and regulatory standards. FAIR practices also strengthen collaboration across cross-functional teams by improving transparency, traceability, and alignment of deliverables. For project managers, this translates into more reliable data-driven workflows, streamlined communication, and greater confidence in achieving project objectives efficiently and sustainably.</v>
      </c>
      <c r="I3" s="99" t="str">
        <f>_xlfn.XLOOKUP($B3,'2025-Personas-FAIR-cleaned'!$B$3:$B$40,'2025-Personas-FAIR-cleaned'!$P$3:$P$40)</f>
        <v>F1: Enables unified tracking of project data through persistent identifiers, reducing duplication and confusion; F2: Provides rich metadata that clarify context, improving communication and coordination across teams; F4: Centralizes data in searchable repositories, giving real-time visibility into project status and dependencies; A1: Ensures standardized access to validated data, streamlining reporting and decision-making; I1: Promotes seamless data exchange between systems, reducing manual consolidation and integration delays; I2: Aligns terminology and metrics through shared vocabularies, ensuring consistent understanding across functions; R1: Delivers high-quality, complete data that can be confidently reused for planning, forecasting, and analytics; R1.2: Provides traceable provenance, strengthening compliance and audit readiness; R1.3: Aligns data with regulatory and community standards (e.g., CDISC, IDMP), accelerating submissions and validation.</v>
      </c>
      <c r="J3" s="1"/>
      <c r="K3" s="1"/>
      <c r="L3" s="1"/>
      <c r="M3" s="1"/>
      <c r="N3" s="1"/>
      <c r="O3" s="1"/>
      <c r="P3" s="1"/>
      <c r="Q3" s="1"/>
      <c r="R3" s="1"/>
      <c r="S3" s="1"/>
      <c r="T3" s="1"/>
      <c r="U3" s="1"/>
      <c r="V3" s="1"/>
      <c r="W3" s="1"/>
      <c r="X3" s="1"/>
    </row>
    <row r="4" spans="1:24">
      <c r="D4" s="85" t="str" cm="1">
        <f t="array" ref="D4:D12">_xlfn.TEXTSPLIT(D3,,";")</f>
        <v>Portfolio Manager</v>
      </c>
      <c r="E4" s="85" t="str" cm="1">
        <f t="array" ref="E4:E12">_xlfn.TEXTSPLIT(E3,,",")</f>
        <v>FAIR_Community_Manager</v>
      </c>
      <c r="G4" s="85" t="str" cm="1">
        <f t="array" ref="G4:G5">_xlfn.TEXTSPLIT(G3,,"Latent")</f>
        <v xml:space="preserve">Issues: struggle with fragmented information scattered across silos, making it difficult to track progress, dependencies, and deliverables efficiently. Inconsistent or incomplete data across R&amp;D, clinical, and regulatory systems causes delays in reporting and decision-making, while limited visibility and traceability often result in duplicated work, misaligned timelines, and poor impact assessment. Manual data consolidation consumes valuable time that could be spent on strategic coordination and risk management. Additionally, poor interoperability between tools and vendors increases rework, handover errors, and operational costs. The lack of standardized metadata and provenance also heightens regulatory and audit risks, as documentation remains inconsistent and incomplete.
</v>
      </c>
      <c r="I4" s="85" t="str" cm="1">
        <f t="array" ref="I4:I12">_xlfn.TEXTSPLIT(I3,,";")</f>
        <v>F1: Enables unified tracking of project data through persistent identifiers, reducing duplication and confusion</v>
      </c>
    </row>
    <row r="5" spans="1:24">
      <c r="D5" s="85" t="str">
        <v xml:space="preserve"> Program Manager</v>
      </c>
      <c r="E5" s="97" t="str">
        <v>FAIR_Data_Architect</v>
      </c>
      <c r="G5" t="str">
        <v xml:space="preserve"> gains: By implementing FAIR principles, these challenges can be transformed into strategic advantages. Real-time visibility of project data across domains enables proactive monitoring and faster decision-making. Standardized, interoperable data structures streamline collaboration across teams and vendors, while automated reporting replaces manual tracking, improving both accuracy and efficiency. Traceable, reusable data strengthen compliance readiness and reduce audit burden. Clear data ownership and reduced redundancy optimize resource allocation and project planning, while predictive insights from high-quality, integrated data enhance risk management and support strategic portfolio prioritization across the entire drug development lifecycle.</v>
      </c>
      <c r="I5" t="str">
        <v xml:space="preserve"> F2: Provides rich metadata that clarify context, improving communication and coordination across teams</v>
      </c>
    </row>
    <row r="6" spans="1:24">
      <c r="D6" s="85" t="str">
        <v xml:space="preserve"> Program Lead</v>
      </c>
      <c r="E6" s="97" t="str">
        <v>Business_Owner</v>
      </c>
      <c r="I6" t="str">
        <v xml:space="preserve"> F4: Centralizes data in searchable repositories, giving real-time visibility into project status and dependencies</v>
      </c>
    </row>
    <row r="7" spans="1:24">
      <c r="D7" s="85" t="str">
        <v xml:space="preserve"> Clinical Project Manager</v>
      </c>
      <c r="E7" s="97" t="str">
        <v>Clinical_Data_Manager</v>
      </c>
      <c r="I7" t="str">
        <v xml:space="preserve"> A1: Ensures standardized access to validated data, streamlining reporting and decision-making</v>
      </c>
    </row>
    <row r="8" spans="1:24">
      <c r="D8" s="85" t="str">
        <v xml:space="preserve"> Project Lead</v>
      </c>
      <c r="E8" s="97" t="str">
        <v>Data_Engineer</v>
      </c>
      <c r="I8" t="str">
        <v xml:space="preserve"> I1: Promotes seamless data exchange between systems, reducing manual consolidation and integration delays</v>
      </c>
    </row>
    <row r="9" spans="1:24">
      <c r="D9" s="85" t="str">
        <v xml:space="preserve"> Project Coordinator</v>
      </c>
      <c r="E9" s="97" t="str">
        <v>Data_Owner</v>
      </c>
      <c r="I9" t="str">
        <v xml:space="preserve"> I2: Aligns terminology and metrics through shared vocabularies, ensuring consistent understanding across functions</v>
      </c>
    </row>
    <row r="10" spans="1:24">
      <c r="D10" s="85" t="str">
        <v xml:space="preserve"> Delivery Manager</v>
      </c>
      <c r="E10" s="97" t="str">
        <v>Lab_Manager</v>
      </c>
      <c r="I10" t="str">
        <v xml:space="preserve"> R1: Delivers high-quality, complete data that can be confidently reused for planning, forecasting, and analytics</v>
      </c>
    </row>
    <row r="11" spans="1:24">
      <c r="D11" t="str">
        <v xml:space="preserve"> Principal investigator</v>
      </c>
      <c r="E11" s="97" t="str">
        <v>Project_Manager</v>
      </c>
      <c r="I11" t="str">
        <v xml:space="preserve"> R1.2: Provides traceable provenance, strengthening compliance and audit readiness</v>
      </c>
    </row>
    <row r="12" spans="1:24">
      <c r="D12" t="str">
        <v/>
      </c>
      <c r="E12" s="97" t="str">
        <v>Technology_Leader</v>
      </c>
      <c r="I12" t="str">
        <v xml:space="preserve"> R1.3: Aligns data with regulatory and community standards (e.g., CDISC, IDMP), accelerating submissions and validation.</v>
      </c>
    </row>
    <row r="16" spans="1:24">
      <c r="A16" s="4" t="s">
        <v>868</v>
      </c>
      <c r="B16" s="56" t="s">
        <v>869</v>
      </c>
    </row>
    <row r="17" spans="1:3">
      <c r="A17" s="4" t="s">
        <v>870</v>
      </c>
      <c r="B17" t="str">
        <f>CONCATENATE(B3,".md")</f>
        <v>Project_Manager.md</v>
      </c>
    </row>
    <row r="19" spans="1:3" s="94" customFormat="1">
      <c r="A19" s="93" t="s">
        <v>871</v>
      </c>
    </row>
    <row r="21" spans="1:3">
      <c r="A21" t="s">
        <v>872</v>
      </c>
      <c r="B21" t="str">
        <f>B3</f>
        <v>Project_Manager</v>
      </c>
    </row>
    <row r="22" spans="1:3">
      <c r="A22" t="str">
        <f>CONCATENATE("[",B3,"]","(",B16,B3,")")</f>
        <v>[Project_Manager](https://pistoiaalliance.github.io/FAIRMaturityMatrix/FAIR_personas/Project_Manager)</v>
      </c>
    </row>
    <row r="24" spans="1:3">
      <c r="A24" t="s">
        <v>873</v>
      </c>
      <c r="B24" t="s">
        <v>874</v>
      </c>
      <c r="C24" t="str">
        <f>$B$3</f>
        <v>Project_Manager</v>
      </c>
    </row>
    <row r="25" spans="1:3" ht="30">
      <c r="A25" t="s">
        <v>875</v>
      </c>
      <c r="B25" s="1" t="str">
        <f>CONCATENATE(B24," ",C24)</f>
        <v>Synonyms of  Project_Manager</v>
      </c>
      <c r="C25" t="s">
        <v>875</v>
      </c>
    </row>
    <row r="26" spans="1:3">
      <c r="A26" t="s">
        <v>875</v>
      </c>
      <c r="B26" t="s">
        <v>876</v>
      </c>
      <c r="C26" t="s">
        <v>875</v>
      </c>
    </row>
    <row r="27" spans="1:3">
      <c r="A27" t="s">
        <v>875</v>
      </c>
      <c r="B27" t="str">
        <f t="shared" ref="B27:B33" si="0">D4</f>
        <v>Portfolio Manager</v>
      </c>
      <c r="C27" t="s">
        <v>875</v>
      </c>
    </row>
    <row r="28" spans="1:3">
      <c r="A28" t="s">
        <v>875</v>
      </c>
      <c r="B28" t="str">
        <f t="shared" si="0"/>
        <v xml:space="preserve"> Program Manager</v>
      </c>
      <c r="C28" t="s">
        <v>875</v>
      </c>
    </row>
    <row r="29" spans="1:3">
      <c r="A29" t="s">
        <v>875</v>
      </c>
      <c r="B29" t="str">
        <f t="shared" si="0"/>
        <v xml:space="preserve"> Program Lead</v>
      </c>
      <c r="C29" t="s">
        <v>875</v>
      </c>
    </row>
    <row r="30" spans="1:3">
      <c r="A30" t="s">
        <v>875</v>
      </c>
      <c r="B30" t="str">
        <f t="shared" si="0"/>
        <v xml:space="preserve"> Clinical Project Manager</v>
      </c>
      <c r="C30" t="s">
        <v>875</v>
      </c>
    </row>
    <row r="31" spans="1:3">
      <c r="A31" t="s">
        <v>875</v>
      </c>
      <c r="B31" t="str">
        <f t="shared" si="0"/>
        <v xml:space="preserve"> Project Lead</v>
      </c>
      <c r="C31" t="s">
        <v>875</v>
      </c>
    </row>
    <row r="32" spans="1:3">
      <c r="A32" t="s">
        <v>875</v>
      </c>
      <c r="B32" t="str">
        <f t="shared" si="0"/>
        <v xml:space="preserve"> Project Coordinator</v>
      </c>
      <c r="C32" t="s">
        <v>875</v>
      </c>
    </row>
    <row r="33" spans="1:3">
      <c r="A33" t="s">
        <v>875</v>
      </c>
      <c r="B33" t="str">
        <f t="shared" si="0"/>
        <v xml:space="preserve"> Delivery Manager</v>
      </c>
      <c r="C33" t="s">
        <v>875</v>
      </c>
    </row>
    <row r="35" spans="1:3">
      <c r="A35" t="s">
        <v>873</v>
      </c>
      <c r="B35" t="s">
        <v>877</v>
      </c>
      <c r="C35" t="str">
        <f>$B$3</f>
        <v>Project_Manager</v>
      </c>
    </row>
    <row r="36" spans="1:3">
      <c r="A36" t="str">
        <f>C3</f>
        <v>Coordinates -cross-functional- efforts to deliver projects or initiative on time, within budget, and in compliance with regulatory standards. They oversee projects in -or spanning- research, clinical development, manufacturing, regulatory submissions, and commercialization domains. Acting as the connective link between scientific, operational, and business teams, the Project Manager ensures alignment of objectives, resources, and timelines , including across the drug development lifecycle. They manage risk, track milestones, and facilitate decision-making through clear reporting and proactive issue resolution. In addition, they drive collaboration among internal teams, external partners, and vendors while ensuring adherence to GxP and quality standards.</v>
      </c>
    </row>
    <row r="39" spans="1:3">
      <c r="A39" s="69" t="s">
        <v>878</v>
      </c>
      <c r="B39" t="s">
        <v>879</v>
      </c>
      <c r="C39" t="str">
        <f>$B$3</f>
        <v>Project_Manager</v>
      </c>
    </row>
    <row r="40" spans="1:3" ht="30">
      <c r="A40" t="s">
        <v>875</v>
      </c>
      <c r="B40" s="1" t="str">
        <f>CONCATENATE(B39," ",C39)</f>
        <v>FAIR persona related to  Project_Manager</v>
      </c>
      <c r="C40" t="s">
        <v>875</v>
      </c>
    </row>
    <row r="41" spans="1:3">
      <c r="A41" t="s">
        <v>875</v>
      </c>
      <c r="B41" t="s">
        <v>876</v>
      </c>
      <c r="C41" t="s">
        <v>875</v>
      </c>
    </row>
    <row r="42" spans="1:3" ht="90">
      <c r="A42" t="s">
        <v>875</v>
      </c>
      <c r="B42" s="1" t="str">
        <f>CONCATENATE("[",E4,"]","(",$B$16,E4,")")</f>
        <v>[FAIR_Community_Manager](https://pistoiaalliance.github.io/FAIRMaturityMatrix/FAIR_personas/FAIR_Community_Manager)</v>
      </c>
      <c r="C42" t="s">
        <v>875</v>
      </c>
    </row>
    <row r="43" spans="1:3">
      <c r="A43" t="s">
        <v>875</v>
      </c>
      <c r="B43" t="str">
        <f t="shared" ref="B43:B49" si="1">CONCATENATE("[",E5,"]","(",$B$16,E5,")")</f>
        <v>[FAIR_Data_Architect](https://pistoiaalliance.github.io/FAIRMaturityMatrix/FAIR_personas/FAIR_Data_Architect)</v>
      </c>
      <c r="C43" t="s">
        <v>875</v>
      </c>
    </row>
    <row r="44" spans="1:3">
      <c r="A44" t="s">
        <v>875</v>
      </c>
      <c r="B44" t="str">
        <f t="shared" si="1"/>
        <v>[Business_Owner](https://pistoiaalliance.github.io/FAIRMaturityMatrix/FAIR_personas/Business_Owner)</v>
      </c>
      <c r="C44" t="s">
        <v>875</v>
      </c>
    </row>
    <row r="45" spans="1:3">
      <c r="A45" t="s">
        <v>875</v>
      </c>
      <c r="B45" t="str">
        <f t="shared" si="1"/>
        <v>[Clinical_Data_Manager](https://pistoiaalliance.github.io/FAIRMaturityMatrix/FAIR_personas/Clinical_Data_Manager)</v>
      </c>
      <c r="C45" t="s">
        <v>875</v>
      </c>
    </row>
    <row r="46" spans="1:3">
      <c r="A46" t="s">
        <v>875</v>
      </c>
      <c r="B46" t="str">
        <f t="shared" si="1"/>
        <v>[Data_Engineer](https://pistoiaalliance.github.io/FAIRMaturityMatrix/FAIR_personas/Data_Engineer)</v>
      </c>
      <c r="C46" t="s">
        <v>875</v>
      </c>
    </row>
    <row r="47" spans="1:3">
      <c r="A47" t="s">
        <v>875</v>
      </c>
      <c r="B47" t="str">
        <f t="shared" si="1"/>
        <v>[Data_Owner](https://pistoiaalliance.github.io/FAIRMaturityMatrix/FAIR_personas/Data_Owner)</v>
      </c>
      <c r="C47" t="s">
        <v>875</v>
      </c>
    </row>
    <row r="48" spans="1:3">
      <c r="A48" t="s">
        <v>875</v>
      </c>
      <c r="B48" t="str">
        <f t="shared" si="1"/>
        <v>[Lab_Manager](https://pistoiaalliance.github.io/FAIRMaturityMatrix/FAIR_personas/Lab_Manager)</v>
      </c>
      <c r="C48" t="s">
        <v>875</v>
      </c>
    </row>
    <row r="49" spans="1:3">
      <c r="A49" t="s">
        <v>875</v>
      </c>
      <c r="B49" t="str">
        <f t="shared" si="1"/>
        <v>[Project_Manager](https://pistoiaalliance.github.io/FAIRMaturityMatrix/FAIR_personas/Project_Manager)</v>
      </c>
      <c r="C49" t="s">
        <v>875</v>
      </c>
    </row>
    <row r="51" spans="1:3">
      <c r="A51" s="69" t="s">
        <v>878</v>
      </c>
      <c r="B51" t="s">
        <v>880</v>
      </c>
      <c r="C51" t="str">
        <f>$B$3</f>
        <v>Project_Manager</v>
      </c>
    </row>
    <row r="52" spans="1:3">
      <c r="A52" t="str">
        <f>F3</f>
        <v>Responsible for planning, coordinating, and overseeing projects. Their tasks include defining project scope, timelines, budgets, and deliverables;  tracking progress; managing risks and dependencies; and ensuring alignment with business objectives and regulatory requirements. They organize meetings, produce status reports, formulate options for decision makers, and act as the bridge between technical teams, leadership, and stakeholders.</v>
      </c>
    </row>
    <row r="55" spans="1:3">
      <c r="A55" t="s">
        <v>881</v>
      </c>
      <c r="B55" s="69" t="s">
        <v>882</v>
      </c>
      <c r="C55" t="str">
        <f>$B$3</f>
        <v>Project_Manager</v>
      </c>
    </row>
    <row r="56" spans="1:3">
      <c r="A56" t="s">
        <v>883</v>
      </c>
      <c r="B56" t="s">
        <v>884</v>
      </c>
      <c r="C56" t="str">
        <f>$B$3</f>
        <v>Project_Manager</v>
      </c>
    </row>
    <row r="57" spans="1:3">
      <c r="A57" t="str">
        <f>G4</f>
        <v xml:space="preserve">Issues: struggle with fragmented information scattered across silos, making it difficult to track progress, dependencies, and deliverables efficiently. Inconsistent or incomplete data across R&amp;D, clinical, and regulatory systems causes delays in reporting and decision-making, while limited visibility and traceability often result in duplicated work, misaligned timelines, and poor impact assessment. Manual data consolidation consumes valuable time that could be spent on strategic coordination and risk management. Additionally, poor interoperability between tools and vendors increases rework, handover errors, and operational costs. The lack of standardized metadata and provenance also heightens regulatory and audit risks, as documentation remains inconsistent and incomplete.
</v>
      </c>
    </row>
    <row r="58" spans="1:3">
      <c r="A58" t="s">
        <v>883</v>
      </c>
      <c r="B58" t="s">
        <v>885</v>
      </c>
      <c r="C58" t="str">
        <f>$B$3</f>
        <v>Project_Manager</v>
      </c>
    </row>
    <row r="59" spans="1:3">
      <c r="A59" t="str">
        <f>CONCATENATE("Latent ",G5)</f>
        <v>Latent  gains: By implementing FAIR principles, these challenges can be transformed into strategic advantages. Real-time visibility of project data across domains enables proactive monitoring and faster decision-making. Standardized, interoperable data structures streamline collaboration across teams and vendors, while automated reporting replaces manual tracking, improving both accuracy and efficiency. Traceable, reusable data strengthen compliance readiness and reduce audit burden. Clear data ownership and reduced redundancy optimize resource allocation and project planning, while predictive insights from high-quality, integrated data enhance risk management and support strategic portfolio prioritization across the entire drug development lifecycle.</v>
      </c>
    </row>
    <row r="62" spans="1:3">
      <c r="A62" t="s">
        <v>873</v>
      </c>
      <c r="B62" s="69" t="s">
        <v>886</v>
      </c>
      <c r="C62" t="str">
        <f>$B$3</f>
        <v>Project_Manager</v>
      </c>
    </row>
    <row r="63" spans="1:3">
      <c r="A63" s="69" t="str">
        <f>H3</f>
        <v>For a Project Manager, the implementation of FAIR principles delivers benefits in efficiency, coordination, and project quality. By ensuring that data is findable, accessible, interoperable, and reusable, FAIR provides a structured framework that simplifies planning, execution, and oversight. It enables more predictable project outcomes by making data discoverable and usable from the outset, reducing delays caused by integration, validation, or quality issues. Reusable, high-quality data accelerates timelines, minimizes duplication of effort, and ensures consistent compliance with organizational and regulatory standards. FAIR practices also strengthen collaboration across cross-functional teams by improving transparency, traceability, and alignment of deliverables. For project managers, this translates into more reliable data-driven workflows, streamlined communication, and greater confidence in achieving project objectives efficiently and sustainably.</v>
      </c>
    </row>
    <row r="64" spans="1:3">
      <c r="B64" s="69"/>
    </row>
    <row r="65" spans="1:2">
      <c r="A65" t="s">
        <v>883</v>
      </c>
      <c r="B65" t="str">
        <f>LEFT(A66,3)</f>
        <v>F1:</v>
      </c>
    </row>
    <row r="66" spans="1:2">
      <c r="A66" t="str">
        <f>I4</f>
        <v>F1: Enables unified tracking of project data through persistent identifiers, reducing duplication and confusion</v>
      </c>
    </row>
    <row r="67" spans="1:2">
      <c r="A67" t="s">
        <v>883</v>
      </c>
      <c r="B67" t="str">
        <f>LEFT(A68,3)</f>
        <v xml:space="preserve"> F2</v>
      </c>
    </row>
    <row r="68" spans="1:2">
      <c r="A68" t="str">
        <f>I5</f>
        <v xml:space="preserve"> F2: Provides rich metadata that clarify context, improving communication and coordination across teams</v>
      </c>
    </row>
    <row r="69" spans="1:2">
      <c r="A69" t="s">
        <v>883</v>
      </c>
      <c r="B69" t="str">
        <f>LEFT(A70,3)</f>
        <v xml:space="preserve"> F4</v>
      </c>
    </row>
    <row r="70" spans="1:2">
      <c r="A70" t="str">
        <f>I6</f>
        <v xml:space="preserve"> F4: Centralizes data in searchable repositories, giving real-time visibility into project status and dependencies</v>
      </c>
    </row>
    <row r="71" spans="1:2">
      <c r="A71" t="s">
        <v>883</v>
      </c>
      <c r="B71" t="str">
        <f>LEFT(A72,3)</f>
        <v xml:space="preserve"> A1</v>
      </c>
    </row>
    <row r="72" spans="1:2">
      <c r="A72" t="str">
        <f>I7</f>
        <v xml:space="preserve"> A1: Ensures standardized access to validated data, streamlining reporting and decision-making</v>
      </c>
    </row>
    <row r="73" spans="1:2">
      <c r="A73" t="s">
        <v>883</v>
      </c>
      <c r="B73" t="str">
        <f>LEFT(A74,3)</f>
        <v xml:space="preserve"> I1</v>
      </c>
    </row>
    <row r="74" spans="1:2">
      <c r="A74" t="str">
        <f>I8</f>
        <v xml:space="preserve"> I1: Promotes seamless data exchange between systems, reducing manual consolidation and integration delays</v>
      </c>
    </row>
    <row r="75" spans="1:2">
      <c r="A75" t="s">
        <v>883</v>
      </c>
      <c r="B75" t="str">
        <f>LEFT(A76,3)</f>
        <v xml:space="preserve"> I2</v>
      </c>
    </row>
    <row r="76" spans="1:2">
      <c r="A76" t="str">
        <f>I9</f>
        <v xml:space="preserve"> I2: Aligns terminology and metrics through shared vocabularies, ensuring consistent understanding across functions</v>
      </c>
    </row>
    <row r="77" spans="1:2">
      <c r="A77" t="s">
        <v>883</v>
      </c>
      <c r="B77" t="str">
        <f>LEFT(A78,3)</f>
        <v xml:space="preserve"> R1</v>
      </c>
    </row>
    <row r="78" spans="1:2">
      <c r="A78" t="str">
        <f>I10</f>
        <v xml:space="preserve"> R1: Delivers high-quality, complete data that can be confidently reused for planning, forecasting, and analytics</v>
      </c>
    </row>
    <row r="79" spans="1:2">
      <c r="A79" t="s">
        <v>883</v>
      </c>
      <c r="B79" t="str">
        <f>LEFT(A80,3)</f>
        <v xml:space="preserve"> R1</v>
      </c>
    </row>
    <row r="80" spans="1:2">
      <c r="A80" t="str">
        <f>I11</f>
        <v xml:space="preserve"> R1.2: Provides traceable provenance, strengthening compliance and audit readiness</v>
      </c>
    </row>
    <row r="81" spans="1:2">
      <c r="A81" t="s">
        <v>883</v>
      </c>
      <c r="B81" t="str">
        <f>LEFT(A82,3)</f>
        <v xml:space="preserve"> R1</v>
      </c>
    </row>
    <row r="82" spans="1:2">
      <c r="A82" t="str">
        <f>I12</f>
        <v xml:space="preserve"> R1.3: Aligns data with regulatory and community standards (e.g., CDISC, IDMP), accelerating submissions and validation.</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1C89CE39-2BD4-4E6D-9B77-D1DFA1E2C937}"/>
    <hyperlink ref="A3" r:id="rId2" xr:uid="{3632F8EE-5B51-407D-AFEB-D2F5C0BDE89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F945177-ED38-4AAE-A5BD-6869CBA80320}">
          <x14:formula1>
            <xm:f>'2025-Personas-FAIR-cleaned'!$B$3:$B$40</xm:f>
          </x14:formula1>
          <xm:sqref>B3 E5:E12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4A25-C65C-4297-868E-48E7491A83E0}">
  <dimension ref="A1:X90"/>
  <sheetViews>
    <sheetView topLeftCell="A60" workbookViewId="0">
      <selection activeCell="A21" sqref="A21:C70"/>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388</v>
      </c>
      <c r="C3" s="99" t="str">
        <f>_xlfn.XLOOKUP($B3,'2025-Personas-FAIR-cleaned'!$B$3:$B$40,'2025-Personas-FAIR-cleaned'!$D$3:$D$40)</f>
        <v>An expert in knowledge representation and ontology building,</v>
      </c>
      <c r="D3" s="99" t="str">
        <f>_xlfn.XLOOKUP($B3,'2025-Personas-FAIR-cleaned'!$B$3:$B$40,'2025-Personas-FAIR-cleaned'!$G$3:$G$40)</f>
        <v>Knowledge Engineer; Information Architect; Semantic Data Modeler; Taxonomist; Data Standards Specialist</v>
      </c>
      <c r="E3" s="100" t="str">
        <f>_xlfn.XLOOKUP($B3,'2025-Personas-FAIR-cleaned'!$B$3:$B$40,'2025-Personas-FAIR-cleaned'!$H$3:$H$40)</f>
        <v>FAIR_Data_Architect,Curator,Data_Standards_and_Governance_Expert,Reference_Data_Manager</v>
      </c>
      <c r="F3" s="99" t="str">
        <f>_xlfn.XLOOKUP($B3,'2025-Personas-FAIR-cleaned'!$B$3:$B$40,'2025-Personas-FAIR-cleaned'!$K$3:$K$40)</f>
        <v>An Ontologist plays a pivotal role in defining and structuring the semantic foundations of an organization’s data ecosystem. Their work involves knowledge elicitation to capture domain expertise and domain modeling to formalize concepts, relationships, and constraints within a specific area. Through knowledge representation and engineering, they transform complex information into actionable, machine-readable models aligned with semantic web standards and technologies. Ontologists actively engage with communities to foster collaboration, build consensus, and promote best practices for interoperability and data reuse. They contribute to the development of industry standards and ensure the quality and consistency of AI-generated semantic representations. By bridging technical precision with organizational needs, the ontologist enables a data-centric approach that enhances understanding, integration, and innovation across systems and disciplines.</v>
      </c>
      <c r="G3" s="99" t="str">
        <f>_xlfn.XLOOKUP($B3,'2025-Personas-FAIR-cleaned'!$B$3:$B$40,'2025-Personas-FAIR-cleaned'!$O$3:$O$40)</f>
        <v>Issues: Ontologists often face the challenge of driving organizational change and convincing teams—particularly those accustomed to traditional information architecture and ER modeling—to adopt new, semantic approaches. There is a persistent shortage of trained experts, and differing schools of thought in ontology development can hinder consistency and interoperability. Moreover, semantic models cannot guarantee seamless interoperability out of the box, as conflicting or competing models may arise across domains.
Latent gains: Implementing FAIR principles helps mitigate these challenges by promoting shared standards, improving semantic alignment, and fostering collaboration across disciplines. This approach enhances efficiency, compliance, and data reuse while supporting the gradual transition toward a unified, interoperable, and sustainable data ecosystem.</v>
      </c>
      <c r="H3" s="99" t="str">
        <f>_xlfn.XLOOKUP($B3,'2025-Personas-FAIR-cleaned'!$B$3:$B$40,'2025-Personas-FAIR-cleaned'!$M$3:$M$40)</f>
        <v>the application of FAIR principles enhances the creation and maintenance of high-quality, interoperable data models that underpin a data-centric approach. FAIR enables the development of actionable ontological frameworks that drive consistency, reusability, and semantic clarity across the organization. It supports the precise definition of standards and shared understanding of “what good looks like,” ensuring that data models are transparent, well-structured, and aligned with business and scientific objectives. By fostering clarity about model intent and commitment, FAIR empowers ontologists to build trusted, sustainable data ecosystems that facilitate integration, automation, and informed decision-making.</v>
      </c>
      <c r="I3" s="99" t="str">
        <f>_xlfn.XLOOKUP($B3,'2025-Personas-FAIR-cleaned'!$B$3:$B$40,'2025-Personas-FAIR-cleaned'!$P$3:$P$40)</f>
        <v>I1 ensures semantic interoperability across ontologies and vocabularies; I2 enables automated reasoning over structured knowledge; R1.3 promotes reuse of ontologies by aligning with community standards</v>
      </c>
      <c r="J3" s="1"/>
      <c r="K3" s="1"/>
      <c r="L3" s="1"/>
      <c r="M3" s="1"/>
      <c r="N3" s="1"/>
      <c r="O3" s="1"/>
      <c r="P3" s="1"/>
      <c r="Q3" s="1"/>
      <c r="R3" s="1"/>
      <c r="S3" s="1"/>
      <c r="T3" s="1"/>
      <c r="U3" s="1"/>
      <c r="V3" s="1"/>
      <c r="W3" s="1"/>
      <c r="X3" s="1"/>
    </row>
    <row r="4" spans="1:24">
      <c r="D4" s="85" t="str" cm="1">
        <f t="array" ref="D4:D8">_xlfn.TEXTSPLIT(D3,,";")</f>
        <v>Knowledge Engineer</v>
      </c>
      <c r="E4" s="85" t="str" cm="1">
        <f t="array" ref="E4:E7">_xlfn.TEXTSPLIT(E3,,",")</f>
        <v>FAIR_Data_Architect</v>
      </c>
      <c r="G4" s="85" t="str" cm="1">
        <f t="array" ref="G4:G5">_xlfn.TEXTSPLIT(G3,,"Latent")</f>
        <v xml:space="preserve">Issues: Ontologists often face the challenge of driving organizational change and convincing teams—particularly those accustomed to traditional information architecture and ER modeling—to adopt new, semantic approaches. There is a persistent shortage of trained experts, and differing schools of thought in ontology development can hinder consistency and interoperability. Moreover, semantic models cannot guarantee seamless interoperability out of the box, as conflicting or competing models may arise across domains.
</v>
      </c>
      <c r="I4" s="85" t="str" cm="1">
        <f t="array" ref="I4:I6">_xlfn.TEXTSPLIT(I3,,";")</f>
        <v>I1 ensures semantic interoperability across ontologies and vocabularies</v>
      </c>
    </row>
    <row r="5" spans="1:24">
      <c r="D5" s="85" t="str">
        <v xml:space="preserve"> Information Architect</v>
      </c>
      <c r="E5" s="97" t="str">
        <v>Curator</v>
      </c>
      <c r="G5" t="str">
        <v xml:space="preserve"> gains: Implementing FAIR principles helps mitigate these challenges by promoting shared standards, improving semantic alignment, and fostering collaboration across disciplines. This approach enhances efficiency, compliance, and data reuse while supporting the gradual transition toward a unified, interoperable, and sustainable data ecosystem.</v>
      </c>
      <c r="I5" t="str">
        <v xml:space="preserve"> I2 enables automated reasoning over structured knowledge</v>
      </c>
    </row>
    <row r="6" spans="1:24">
      <c r="D6" s="85" t="str">
        <v xml:space="preserve"> Semantic Data Modeler</v>
      </c>
      <c r="E6" s="97" t="str">
        <v>Data_Standards_and_Governance_Expert</v>
      </c>
      <c r="I6" t="str">
        <v xml:space="preserve"> R1.3 promotes reuse of ontologies by aligning with community standards</v>
      </c>
    </row>
    <row r="7" spans="1:24">
      <c r="D7" s="85" t="str">
        <v xml:space="preserve"> Taxonomist</v>
      </c>
      <c r="E7" s="97" t="str">
        <v>Reference_Data_Manager</v>
      </c>
    </row>
    <row r="8" spans="1:24">
      <c r="D8" s="85" t="str">
        <v xml:space="preserve"> Data Standards Specialist</v>
      </c>
      <c r="E8" s="97"/>
    </row>
    <row r="9" spans="1:24">
      <c r="D9" s="85"/>
      <c r="E9" s="97"/>
    </row>
    <row r="10" spans="1:24">
      <c r="D10" s="85"/>
      <c r="E10" s="97"/>
    </row>
    <row r="11" spans="1:24">
      <c r="E11" s="97"/>
    </row>
    <row r="12" spans="1:24">
      <c r="E12" s="97"/>
    </row>
    <row r="16" spans="1:24">
      <c r="A16" s="4" t="s">
        <v>868</v>
      </c>
      <c r="B16" s="56" t="s">
        <v>869</v>
      </c>
    </row>
    <row r="17" spans="1:3">
      <c r="A17" s="4" t="s">
        <v>870</v>
      </c>
      <c r="B17" t="str">
        <f>CONCATENATE(B3,".md")</f>
        <v>Ontologist.md</v>
      </c>
    </row>
    <row r="19" spans="1:3" s="94" customFormat="1">
      <c r="A19" s="93" t="s">
        <v>871</v>
      </c>
    </row>
    <row r="21" spans="1:3">
      <c r="A21" t="s">
        <v>872</v>
      </c>
      <c r="B21" t="str">
        <f>B3</f>
        <v>Ontologist</v>
      </c>
    </row>
    <row r="22" spans="1:3">
      <c r="A22" t="str">
        <f>CONCATENATE("[",B3,"]","(",B16,B3,")")</f>
        <v>[Ontologist](https://pistoiaalliance.github.io/FAIRMaturityMatrix/FAIR_personas/Ontologist)</v>
      </c>
    </row>
    <row r="24" spans="1:3">
      <c r="A24" t="s">
        <v>873</v>
      </c>
      <c r="B24" t="s">
        <v>874</v>
      </c>
      <c r="C24" t="str">
        <f>$B$3</f>
        <v>Ontologist</v>
      </c>
    </row>
    <row r="25" spans="1:3" ht="30">
      <c r="A25" t="s">
        <v>875</v>
      </c>
      <c r="B25" s="1" t="str">
        <f>CONCATENATE(B24," ",C24)</f>
        <v>Synonyms of  Ontologist</v>
      </c>
      <c r="C25" t="s">
        <v>875</v>
      </c>
    </row>
    <row r="26" spans="1:3">
      <c r="A26" t="s">
        <v>875</v>
      </c>
      <c r="B26" t="s">
        <v>876</v>
      </c>
      <c r="C26" t="s">
        <v>875</v>
      </c>
    </row>
    <row r="27" spans="1:3">
      <c r="A27" t="s">
        <v>875</v>
      </c>
      <c r="B27" t="str">
        <f t="shared" ref="B27:B33" si="0">D4</f>
        <v>Knowledge Engineer</v>
      </c>
      <c r="C27" t="s">
        <v>875</v>
      </c>
    </row>
    <row r="28" spans="1:3">
      <c r="A28" t="s">
        <v>875</v>
      </c>
      <c r="B28" t="str">
        <f t="shared" si="0"/>
        <v xml:space="preserve"> Information Architect</v>
      </c>
      <c r="C28" t="s">
        <v>875</v>
      </c>
    </row>
    <row r="29" spans="1:3">
      <c r="A29" t="s">
        <v>875</v>
      </c>
      <c r="B29" t="str">
        <f t="shared" si="0"/>
        <v xml:space="preserve"> Semantic Data Modeler</v>
      </c>
      <c r="C29" t="s">
        <v>875</v>
      </c>
    </row>
    <row r="30" spans="1:3">
      <c r="A30" t="s">
        <v>875</v>
      </c>
      <c r="B30" t="str">
        <f t="shared" si="0"/>
        <v xml:space="preserve"> Taxonomist</v>
      </c>
      <c r="C30" t="s">
        <v>875</v>
      </c>
    </row>
    <row r="31" spans="1:3">
      <c r="A31" t="s">
        <v>875</v>
      </c>
      <c r="B31" t="str">
        <f t="shared" si="0"/>
        <v xml:space="preserve"> Data Standards Specialist</v>
      </c>
      <c r="C31" t="s">
        <v>875</v>
      </c>
    </row>
    <row r="32" spans="1:3">
      <c r="A32" t="s">
        <v>875</v>
      </c>
      <c r="B32">
        <f t="shared" si="0"/>
        <v>0</v>
      </c>
      <c r="C32" t="s">
        <v>875</v>
      </c>
    </row>
    <row r="33" spans="1:3">
      <c r="A33" t="s">
        <v>875</v>
      </c>
      <c r="B33">
        <f t="shared" si="0"/>
        <v>0</v>
      </c>
      <c r="C33" t="s">
        <v>875</v>
      </c>
    </row>
    <row r="35" spans="1:3">
      <c r="A35" t="s">
        <v>873</v>
      </c>
      <c r="B35" t="s">
        <v>877</v>
      </c>
      <c r="C35" t="str">
        <f>$B$3</f>
        <v>Ontologist</v>
      </c>
    </row>
    <row r="36" spans="1:3">
      <c r="A36" t="str">
        <f>C3</f>
        <v>An expert in knowledge representation and ontology building,</v>
      </c>
    </row>
    <row r="39" spans="1:3">
      <c r="A39" s="69" t="s">
        <v>878</v>
      </c>
      <c r="B39" t="s">
        <v>879</v>
      </c>
      <c r="C39" t="str">
        <f>$B$3</f>
        <v>Ontologist</v>
      </c>
    </row>
    <row r="40" spans="1:3" ht="30">
      <c r="A40" t="s">
        <v>875</v>
      </c>
      <c r="B40" s="1" t="str">
        <f>CONCATENATE(B39," ",C39)</f>
        <v>FAIR persona related to  Ontologist</v>
      </c>
      <c r="C40" t="s">
        <v>875</v>
      </c>
    </row>
    <row r="41" spans="1:3">
      <c r="A41" t="s">
        <v>875</v>
      </c>
      <c r="B41" t="s">
        <v>876</v>
      </c>
      <c r="C41" t="s">
        <v>875</v>
      </c>
    </row>
    <row r="42" spans="1:3" ht="90">
      <c r="A42" t="s">
        <v>875</v>
      </c>
      <c r="B42" s="1" t="str">
        <f>CONCATENATE("[",E4,"]","(",$B$16,E4,")")</f>
        <v>[FAIR_Data_Architect](https://pistoiaalliance.github.io/FAIRMaturityMatrix/FAIR_personas/FAIR_Data_Architect)</v>
      </c>
      <c r="C42" t="s">
        <v>875</v>
      </c>
    </row>
    <row r="43" spans="1:3">
      <c r="A43" t="s">
        <v>875</v>
      </c>
      <c r="B43" t="str">
        <f t="shared" ref="B43:B49" si="1">CONCATENATE("[",E5,"]","(",$B$16,E5,")")</f>
        <v>[Curator](https://pistoiaalliance.github.io/FAIRMaturityMatrix/FAIR_personas/Curator)</v>
      </c>
      <c r="C43" t="s">
        <v>875</v>
      </c>
    </row>
    <row r="44" spans="1:3">
      <c r="A44" t="s">
        <v>875</v>
      </c>
      <c r="B44" t="str">
        <f t="shared" si="1"/>
        <v>[Data_Standards_and_Governance_Expert](https://pistoiaalliance.github.io/FAIRMaturityMatrix/FAIR_personas/Data_Standards_and_Governance_Expert)</v>
      </c>
      <c r="C44" t="s">
        <v>875</v>
      </c>
    </row>
    <row r="45" spans="1:3">
      <c r="A45" t="s">
        <v>875</v>
      </c>
      <c r="B45" t="str">
        <f t="shared" si="1"/>
        <v>[Reference_Data_Manager](https://pistoiaalliance.github.io/FAIRMaturityMatrix/FAIR_personas/Reference_Data_Manager)</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Ontologist</v>
      </c>
    </row>
    <row r="52" spans="1:3">
      <c r="A52" t="str">
        <f>F3</f>
        <v>An Ontologist plays a pivotal role in defining and structuring the semantic foundations of an organization’s data ecosystem. Their work involves knowledge elicitation to capture domain expertise and domain modeling to formalize concepts, relationships, and constraints within a specific area. Through knowledge representation and engineering, they transform complex information into actionable, machine-readable models aligned with semantic web standards and technologies. Ontologists actively engage with communities to foster collaboration, build consensus, and promote best practices for interoperability and data reuse. They contribute to the development of industry standards and ensure the quality and consistency of AI-generated semantic representations. By bridging technical precision with organizational needs, the ontologist enables a data-centric approach that enhances understanding, integration, and innovation across systems and disciplines.</v>
      </c>
    </row>
    <row r="55" spans="1:3">
      <c r="A55" t="s">
        <v>881</v>
      </c>
      <c r="B55" s="69" t="s">
        <v>882</v>
      </c>
      <c r="C55" t="str">
        <f>$B$3</f>
        <v>Ontologist</v>
      </c>
    </row>
    <row r="56" spans="1:3">
      <c r="A56" t="s">
        <v>883</v>
      </c>
      <c r="B56" t="s">
        <v>884</v>
      </c>
      <c r="C56" t="str">
        <f>$B$3</f>
        <v>Ontologist</v>
      </c>
    </row>
    <row r="57" spans="1:3">
      <c r="A57" t="str">
        <f>G4</f>
        <v xml:space="preserve">Issues: Ontologists often face the challenge of driving organizational change and convincing teams—particularly those accustomed to traditional information architecture and ER modeling—to adopt new, semantic approaches. There is a persistent shortage of trained experts, and differing schools of thought in ontology development can hinder consistency and interoperability. Moreover, semantic models cannot guarantee seamless interoperability out of the box, as conflicting or competing models may arise across domains.
</v>
      </c>
    </row>
    <row r="58" spans="1:3">
      <c r="A58" t="s">
        <v>883</v>
      </c>
      <c r="B58" t="s">
        <v>885</v>
      </c>
      <c r="C58" t="str">
        <f>$B$3</f>
        <v>Ontologist</v>
      </c>
    </row>
    <row r="59" spans="1:3">
      <c r="A59" t="str">
        <f>CONCATENATE("Latent ",G5)</f>
        <v>Latent  gains: Implementing FAIR principles helps mitigate these challenges by promoting shared standards, improving semantic alignment, and fostering collaboration across disciplines. This approach enhances efficiency, compliance, and data reuse while supporting the gradual transition toward a unified, interoperable, and sustainable data ecosystem.</v>
      </c>
    </row>
    <row r="62" spans="1:3">
      <c r="A62" t="s">
        <v>873</v>
      </c>
      <c r="B62" s="69" t="s">
        <v>886</v>
      </c>
      <c r="C62" t="str">
        <f>$B$3</f>
        <v>Ontologist</v>
      </c>
    </row>
    <row r="63" spans="1:3">
      <c r="A63" s="69" t="str">
        <f>H3</f>
        <v>the application of FAIR principles enhances the creation and maintenance of high-quality, interoperable data models that underpin a data-centric approach. FAIR enables the development of actionable ontological frameworks that drive consistency, reusability, and semantic clarity across the organization. It supports the precise definition of standards and shared understanding of “what good looks like,” ensuring that data models are transparent, well-structured, and aligned with business and scientific objectives. By fostering clarity about model intent and commitment, FAIR empowers ontologists to build trusted, sustainable data ecosystems that facilitate integration, automation, and informed decision-making.</v>
      </c>
    </row>
    <row r="64" spans="1:3">
      <c r="B64" s="69"/>
    </row>
    <row r="65" spans="1:2">
      <c r="A65" t="s">
        <v>883</v>
      </c>
      <c r="B65" t="str">
        <f>LEFT(A66,3)</f>
        <v xml:space="preserve">I1 </v>
      </c>
    </row>
    <row r="66" spans="1:2">
      <c r="A66" t="str">
        <f>I4</f>
        <v>I1 ensures semantic interoperability across ontologies and vocabularies</v>
      </c>
    </row>
    <row r="67" spans="1:2">
      <c r="A67" t="s">
        <v>883</v>
      </c>
      <c r="B67" t="str">
        <f>LEFT(A68,3)</f>
        <v xml:space="preserve"> I2</v>
      </c>
    </row>
    <row r="68" spans="1:2">
      <c r="A68" t="str">
        <f>I5</f>
        <v xml:space="preserve"> I2 enables automated reasoning over structured knowledge</v>
      </c>
    </row>
    <row r="69" spans="1:2">
      <c r="A69" t="s">
        <v>883</v>
      </c>
      <c r="B69" t="str">
        <f>LEFT(A70,3)</f>
        <v xml:space="preserve"> R1</v>
      </c>
    </row>
    <row r="70" spans="1:2">
      <c r="A70" t="str">
        <f>I6</f>
        <v xml:space="preserve"> R1.3 promotes reuse of ontologies by aligning with community standards</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DC81F48E-97C3-4CA4-A7C2-E50C6C9530D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9BD402F-3DDD-4DE9-B1E4-912AB0142E87}">
          <x14:formula1>
            <xm:f>'2025-Personas-FAIR-cleaned'!$B$3:$B$40</xm:f>
          </x14:formula1>
          <xm:sqref>B3 E5:E12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90E3D-4C9C-42FF-9C23-E419C7D7D26B}">
  <dimension ref="A1:X90"/>
  <sheetViews>
    <sheetView topLeftCell="A56" workbookViewId="0">
      <selection activeCell="A21" sqref="A21:C75"/>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441</v>
      </c>
      <c r="C3" s="99" t="str">
        <f>_xlfn.XLOOKUP($B3,'2025-Personas-FAIR-cleaned'!$B$3:$B$40,'2025-Personas-FAIR-cleaned'!$D$3:$D$40)</f>
        <v>Deep domain expert who consumes and validates FAIR data rather than managing it. A subject matter expert (SME) is a person with deep domain knowledge, often as a practitioner of the area of knowledge. SME are often consulted by knowledge engineers and ontologists in what is known as ‘knowledge elicitation exercice’ to express use cases and concepts which are then organized and modeled in semantic artifact by knowledge engineers. (NB: SME also stands for Small to Medium Enterprise).</v>
      </c>
      <c r="D3" s="99" t="str">
        <f>_xlfn.XLOOKUP($B3,'2025-Personas-FAIR-cleaned'!$B$3:$B$40,'2025-Personas-FAIR-cleaned'!$G$3:$G$40)</f>
        <v>Domain Specialist; Key Opinion Leader; Technical Advisor; Resource Person; Thought Leader; Principal Investigator</v>
      </c>
      <c r="E3" s="100" t="str">
        <f>_xlfn.XLOOKUP($B3,'2025-Personas-FAIR-cleaned'!$B$3:$B$40,'2025-Personas-FAIR-cleaned'!$H$3:$H$40)</f>
        <v>Business_Analyst,Data_Steward,Project_Manager,Researcher</v>
      </c>
      <c r="F3" s="99" t="str">
        <f>_xlfn.XLOOKUP($B3,'2025-Personas-FAIR-cleaned'!$B$3:$B$40,'2025-Personas-FAIR-cleaned'!$K$3:$K$40)</f>
        <v>The Subject Matter Expert contributes specialized knowledge and insights within their domain to guide decision-making and solve complex problems. They create and validate technical content and documentation, ensuring accuracy and relevance across projects. In addition, they play a key role in training and mentoring team members and stakeholders, fostering knowledge transfer and capability development. By continuously staying informed about emerging trends and industry developments, they maintain and advance their expertise to support organizational goals and innovation.</v>
      </c>
      <c r="G3" s="99" t="str">
        <f>_xlfn.XLOOKUP($B3,'2025-Personas-FAIR-cleaned'!$B$3:$B$40,'2025-Personas-FAIR-cleaned'!$O$3:$O$40)</f>
        <v>Issues: Locating relevant data efficiently is often difficult due to the vast amount of available information and insufficient indexing or metadata. Access to necessary data may be restricted by limited interoperability, inadequate sharing policies, or technical barriers between systems. Integrating data from multiple sources can be challenging when formats, standards, or terminologies differ, and ensuring that data is well-documented, consistently structured, and contextually meaningful remains a persistent obstacle.
Latent gains: Implementing FAIR principles would mitigate these challenges by improving data discoverability, accessibility, and interoperability, thereby unlocking greater efficiency, compliance, and opportunities for data reuse and scientific discovery.</v>
      </c>
      <c r="H3" s="99" t="str">
        <f>_xlfn.XLOOKUP($B3,'2025-Personas-FAIR-cleaned'!$B$3:$B$40,'2025-Personas-FAIR-cleaned'!$M$3:$M$40)</f>
        <v>FAIR data enhances an SME's ability to efficiently discover, access, and integrate diverse datasets, leading to more informed decision-making and comprehensive insights. It also promotes the sustainable reuse of data, maximizing productivity and driving better business outcomes by ensuring data is well-documented and contextually rich.</v>
      </c>
      <c r="I3" s="99" t="str">
        <f>_xlfn.XLOOKUP($B3,'2025-Personas-FAIR-cleaned'!$B$3:$B$40,'2025-Personas-FAIR-cleaned'!$P$3:$P$40)</f>
        <v>F1 ensures that datasets and knowledge objects they consult are persistently identified, so scientific references remain unambiguous; F2 provides rich metadata that gives SMEs the context needed to assess the reliability and applicability of data; A1 guarantees seamless access to trusted datasets, enabling efficient validation and decision support; I1 allows integration of FAIR datasets with their domain expertise, making cross-disciplinary insights possible; R1.1 ensures reproducibility of findings, so SMEs can validate results confidently and build upon them.</v>
      </c>
      <c r="J3" s="1"/>
      <c r="K3" s="1"/>
      <c r="L3" s="1"/>
      <c r="M3" s="1"/>
      <c r="N3" s="1"/>
      <c r="O3" s="1"/>
      <c r="P3" s="1"/>
      <c r="Q3" s="1"/>
      <c r="R3" s="1"/>
      <c r="S3" s="1"/>
      <c r="T3" s="1"/>
      <c r="U3" s="1"/>
      <c r="V3" s="1"/>
      <c r="W3" s="1"/>
      <c r="X3" s="1"/>
    </row>
    <row r="4" spans="1:24">
      <c r="D4" s="85" t="str" cm="1">
        <f t="array" ref="D4:D9">_xlfn.TEXTSPLIT(D3,,";")</f>
        <v>Domain Specialist</v>
      </c>
      <c r="E4" s="85" t="str" cm="1">
        <f t="array" ref="E4:E7">_xlfn.TEXTSPLIT(E3,,",")</f>
        <v>Business_Analyst</v>
      </c>
      <c r="G4" s="85" t="str" cm="1">
        <f t="array" ref="G4:G5">_xlfn.TEXTSPLIT(G3,,"Latent")</f>
        <v xml:space="preserve">Issues: Locating relevant data efficiently is often difficult due to the vast amount of available information and insufficient indexing or metadata. Access to necessary data may be restricted by limited interoperability, inadequate sharing policies, or technical barriers between systems. Integrating data from multiple sources can be challenging when formats, standards, or terminologies differ, and ensuring that data is well-documented, consistently structured, and contextually meaningful remains a persistent obstacle.
</v>
      </c>
      <c r="I4" s="85" t="str" cm="1">
        <f t="array" ref="I4:I8">_xlfn.TEXTSPLIT(I3,,";")</f>
        <v>F1 ensures that datasets and knowledge objects they consult are persistently identified, so scientific references remain unambiguous</v>
      </c>
    </row>
    <row r="5" spans="1:24">
      <c r="D5" s="85" t="str">
        <v xml:space="preserve"> Key Opinion Leader</v>
      </c>
      <c r="E5" s="97" t="str">
        <v>Data_Steward</v>
      </c>
      <c r="G5" t="str">
        <v xml:space="preserve"> gains: Implementing FAIR principles would mitigate these challenges by improving data discoverability, accessibility, and interoperability, thereby unlocking greater efficiency, compliance, and opportunities for data reuse and scientific discovery.</v>
      </c>
      <c r="I5" t="str">
        <v xml:space="preserve"> F2 provides rich metadata that gives SMEs the context needed to assess the reliability and applicability of data</v>
      </c>
    </row>
    <row r="6" spans="1:24">
      <c r="D6" s="85" t="str">
        <v xml:space="preserve"> Technical Advisor</v>
      </c>
      <c r="E6" s="97" t="str">
        <v>Project_Manager</v>
      </c>
      <c r="I6" t="str">
        <v xml:space="preserve"> A1 guarantees seamless access to trusted datasets, enabling efficient validation and decision support</v>
      </c>
    </row>
    <row r="7" spans="1:24">
      <c r="D7" s="85" t="str">
        <v xml:space="preserve"> Resource Person</v>
      </c>
      <c r="E7" s="97" t="str">
        <v>Researcher</v>
      </c>
      <c r="I7" t="str">
        <v xml:space="preserve"> I1 allows integration of FAIR datasets with their domain expertise, making cross-disciplinary insights possible</v>
      </c>
    </row>
    <row r="8" spans="1:24">
      <c r="D8" s="85" t="str">
        <v xml:space="preserve"> Thought Leader</v>
      </c>
      <c r="E8" s="97"/>
      <c r="I8" t="str">
        <v xml:space="preserve"> R1.1 ensures reproducibility of findings, so SMEs can validate results confidently and build upon them.</v>
      </c>
    </row>
    <row r="9" spans="1:24">
      <c r="D9" s="85" t="str">
        <v xml:space="preserve"> Principal Investigator</v>
      </c>
      <c r="E9" s="97"/>
    </row>
    <row r="10" spans="1:24">
      <c r="D10" s="85"/>
      <c r="E10" s="97"/>
    </row>
    <row r="11" spans="1:24">
      <c r="E11" s="97"/>
    </row>
    <row r="12" spans="1:24">
      <c r="E12" s="97"/>
    </row>
    <row r="16" spans="1:24">
      <c r="A16" s="4" t="s">
        <v>868</v>
      </c>
      <c r="B16" s="56" t="s">
        <v>869</v>
      </c>
    </row>
    <row r="17" spans="1:3">
      <c r="A17" s="4" t="s">
        <v>870</v>
      </c>
      <c r="B17" t="str">
        <f>CONCATENATE(B3,".md")</f>
        <v>Subject_Matter_Expert.md</v>
      </c>
    </row>
    <row r="19" spans="1:3" s="94" customFormat="1">
      <c r="A19" s="93" t="s">
        <v>871</v>
      </c>
    </row>
    <row r="21" spans="1:3">
      <c r="A21" t="s">
        <v>872</v>
      </c>
      <c r="B21" t="str">
        <f>B3</f>
        <v>Subject_Matter_Expert</v>
      </c>
    </row>
    <row r="22" spans="1:3">
      <c r="A22" t="str">
        <f>CONCATENATE("[",B3,"]","(",B16,B3,")")</f>
        <v>[Subject_Matter_Expert](https://pistoiaalliance.github.io/FAIRMaturityMatrix/FAIR_personas/Subject_Matter_Expert)</v>
      </c>
    </row>
    <row r="24" spans="1:3">
      <c r="A24" t="s">
        <v>873</v>
      </c>
      <c r="B24" t="s">
        <v>874</v>
      </c>
      <c r="C24" t="str">
        <f>$B$3</f>
        <v>Subject_Matter_Expert</v>
      </c>
    </row>
    <row r="25" spans="1:3" ht="30">
      <c r="A25" t="s">
        <v>875</v>
      </c>
      <c r="B25" s="1" t="str">
        <f>CONCATENATE(B24," ",C24)</f>
        <v>Synonyms of  Subject_Matter_Expert</v>
      </c>
      <c r="C25" t="s">
        <v>875</v>
      </c>
    </row>
    <row r="26" spans="1:3">
      <c r="A26" t="s">
        <v>875</v>
      </c>
      <c r="B26" t="s">
        <v>876</v>
      </c>
      <c r="C26" t="s">
        <v>875</v>
      </c>
    </row>
    <row r="27" spans="1:3">
      <c r="A27" t="s">
        <v>875</v>
      </c>
      <c r="B27" t="str">
        <f t="shared" ref="B27:B33" si="0">D4</f>
        <v>Domain Specialist</v>
      </c>
      <c r="C27" t="s">
        <v>875</v>
      </c>
    </row>
    <row r="28" spans="1:3">
      <c r="A28" t="s">
        <v>875</v>
      </c>
      <c r="B28" t="str">
        <f t="shared" si="0"/>
        <v xml:space="preserve"> Key Opinion Leader</v>
      </c>
      <c r="C28" t="s">
        <v>875</v>
      </c>
    </row>
    <row r="29" spans="1:3">
      <c r="A29" t="s">
        <v>875</v>
      </c>
      <c r="B29" t="str">
        <f t="shared" si="0"/>
        <v xml:space="preserve"> Technical Advisor</v>
      </c>
      <c r="C29" t="s">
        <v>875</v>
      </c>
    </row>
    <row r="30" spans="1:3">
      <c r="A30" t="s">
        <v>875</v>
      </c>
      <c r="B30" t="str">
        <f t="shared" si="0"/>
        <v xml:space="preserve"> Resource Person</v>
      </c>
      <c r="C30" t="s">
        <v>875</v>
      </c>
    </row>
    <row r="31" spans="1:3">
      <c r="A31" t="s">
        <v>875</v>
      </c>
      <c r="B31" t="str">
        <f t="shared" si="0"/>
        <v xml:space="preserve"> Thought Leader</v>
      </c>
      <c r="C31" t="s">
        <v>875</v>
      </c>
    </row>
    <row r="32" spans="1:3">
      <c r="A32" t="s">
        <v>875</v>
      </c>
      <c r="B32" t="str">
        <f t="shared" si="0"/>
        <v xml:space="preserve"> Principal Investigator</v>
      </c>
      <c r="C32" t="s">
        <v>875</v>
      </c>
    </row>
    <row r="33" spans="1:3">
      <c r="A33" t="s">
        <v>875</v>
      </c>
      <c r="B33">
        <f t="shared" si="0"/>
        <v>0</v>
      </c>
      <c r="C33" t="s">
        <v>875</v>
      </c>
    </row>
    <row r="35" spans="1:3">
      <c r="A35" t="s">
        <v>873</v>
      </c>
      <c r="B35" t="s">
        <v>877</v>
      </c>
      <c r="C35" t="str">
        <f>$B$3</f>
        <v>Subject_Matter_Expert</v>
      </c>
    </row>
    <row r="36" spans="1:3">
      <c r="A36" t="str">
        <f>C3</f>
        <v>Deep domain expert who consumes and validates FAIR data rather than managing it. A subject matter expert (SME) is a person with deep domain knowledge, often as a practitioner of the area of knowledge. SME are often consulted by knowledge engineers and ontologists in what is known as ‘knowledge elicitation exercice’ to express use cases and concepts which are then organized and modeled in semantic artifact by knowledge engineers. (NB: SME also stands for Small to Medium Enterprise).</v>
      </c>
    </row>
    <row r="39" spans="1:3">
      <c r="A39" s="69" t="s">
        <v>878</v>
      </c>
      <c r="B39" t="s">
        <v>879</v>
      </c>
      <c r="C39" t="str">
        <f>$B$3</f>
        <v>Subject_Matter_Expert</v>
      </c>
    </row>
    <row r="40" spans="1:3" ht="45">
      <c r="A40" t="s">
        <v>875</v>
      </c>
      <c r="B40" s="1" t="str">
        <f>CONCATENATE(B39," ",C39)</f>
        <v>FAIR persona related to  Subject_Matter_Expert</v>
      </c>
      <c r="C40" t="s">
        <v>875</v>
      </c>
    </row>
    <row r="41" spans="1:3">
      <c r="A41" t="s">
        <v>875</v>
      </c>
      <c r="B41" t="s">
        <v>876</v>
      </c>
      <c r="C41" t="s">
        <v>875</v>
      </c>
    </row>
    <row r="42" spans="1:3" ht="75">
      <c r="A42" t="s">
        <v>875</v>
      </c>
      <c r="B42" s="1" t="str">
        <f>CONCATENATE("[",E4,"]","(",$B$16,E4,")")</f>
        <v>[Business_Analyst](https://pistoiaalliance.github.io/FAIRMaturityMatrix/FAIR_personas/Business_Analyst)</v>
      </c>
      <c r="C42" t="s">
        <v>875</v>
      </c>
    </row>
    <row r="43" spans="1:3">
      <c r="A43" t="s">
        <v>875</v>
      </c>
      <c r="B43" t="str">
        <f t="shared" ref="B43:B49" si="1">CONCATENATE("[",E5,"]","(",$B$16,E5,")")</f>
        <v>[Data_Steward](https://pistoiaalliance.github.io/FAIRMaturityMatrix/FAIR_personas/Data_Steward)</v>
      </c>
      <c r="C43" t="s">
        <v>875</v>
      </c>
    </row>
    <row r="44" spans="1:3">
      <c r="A44" t="s">
        <v>875</v>
      </c>
      <c r="B44" t="str">
        <f t="shared" si="1"/>
        <v>[Project_Manager](https://pistoiaalliance.github.io/FAIRMaturityMatrix/FAIR_personas/Project_Manager)</v>
      </c>
      <c r="C44" t="s">
        <v>875</v>
      </c>
    </row>
    <row r="45" spans="1:3">
      <c r="A45" t="s">
        <v>875</v>
      </c>
      <c r="B45" t="str">
        <f t="shared" si="1"/>
        <v>[Researcher](https://pistoiaalliance.github.io/FAIRMaturityMatrix/FAIR_personas/Researcher)</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Subject_Matter_Expert</v>
      </c>
    </row>
    <row r="52" spans="1:3">
      <c r="A52" t="str">
        <f>F3</f>
        <v>The Subject Matter Expert contributes specialized knowledge and insights within their domain to guide decision-making and solve complex problems. They create and validate technical content and documentation, ensuring accuracy and relevance across projects. In addition, they play a key role in training and mentoring team members and stakeholders, fostering knowledge transfer and capability development. By continuously staying informed about emerging trends and industry developments, they maintain and advance their expertise to support organizational goals and innovation.</v>
      </c>
    </row>
    <row r="55" spans="1:3">
      <c r="A55" t="s">
        <v>881</v>
      </c>
      <c r="B55" s="69" t="s">
        <v>882</v>
      </c>
      <c r="C55" t="str">
        <f>$B$3</f>
        <v>Subject_Matter_Expert</v>
      </c>
    </row>
    <row r="56" spans="1:3">
      <c r="A56" t="s">
        <v>883</v>
      </c>
      <c r="B56" t="s">
        <v>884</v>
      </c>
      <c r="C56" t="str">
        <f>$B$3</f>
        <v>Subject_Matter_Expert</v>
      </c>
    </row>
    <row r="57" spans="1:3">
      <c r="A57" t="str">
        <f>G4</f>
        <v xml:space="preserve">Issues: Locating relevant data efficiently is often difficult due to the vast amount of available information and insufficient indexing or metadata. Access to necessary data may be restricted by limited interoperability, inadequate sharing policies, or technical barriers between systems. Integrating data from multiple sources can be challenging when formats, standards, or terminologies differ, and ensuring that data is well-documented, consistently structured, and contextually meaningful remains a persistent obstacle.
</v>
      </c>
    </row>
    <row r="58" spans="1:3">
      <c r="A58" t="s">
        <v>883</v>
      </c>
      <c r="B58" t="s">
        <v>885</v>
      </c>
      <c r="C58" t="str">
        <f>$B$3</f>
        <v>Subject_Matter_Expert</v>
      </c>
    </row>
    <row r="59" spans="1:3">
      <c r="A59" t="str">
        <f>CONCATENATE("Latent ",G5)</f>
        <v>Latent  gains: Implementing FAIR principles would mitigate these challenges by improving data discoverability, accessibility, and interoperability, thereby unlocking greater efficiency, compliance, and opportunities for data reuse and scientific discovery.</v>
      </c>
    </row>
    <row r="62" spans="1:3">
      <c r="A62" t="s">
        <v>873</v>
      </c>
      <c r="B62" s="69" t="s">
        <v>886</v>
      </c>
      <c r="C62" t="str">
        <f>$B$3</f>
        <v>Subject_Matter_Expert</v>
      </c>
    </row>
    <row r="63" spans="1:3">
      <c r="A63" s="69" t="str">
        <f>H3</f>
        <v>FAIR data enhances an SME's ability to efficiently discover, access, and integrate diverse datasets, leading to more informed decision-making and comprehensive insights. It also promotes the sustainable reuse of data, maximizing productivity and driving better business outcomes by ensuring data is well-documented and contextually rich.</v>
      </c>
    </row>
    <row r="64" spans="1:3">
      <c r="B64" s="69"/>
    </row>
    <row r="65" spans="1:2">
      <c r="A65" t="s">
        <v>883</v>
      </c>
      <c r="B65" t="str">
        <f>LEFT(A66,3)</f>
        <v xml:space="preserve">F1 </v>
      </c>
    </row>
    <row r="66" spans="1:2">
      <c r="A66" t="str">
        <f>I4</f>
        <v>F1 ensures that datasets and knowledge objects they consult are persistently identified, so scientific references remain unambiguous</v>
      </c>
    </row>
    <row r="67" spans="1:2">
      <c r="A67" t="s">
        <v>883</v>
      </c>
      <c r="B67" t="str">
        <f>LEFT(A68,3)</f>
        <v xml:space="preserve"> F2</v>
      </c>
    </row>
    <row r="68" spans="1:2">
      <c r="A68" t="str">
        <f>I5</f>
        <v xml:space="preserve"> F2 provides rich metadata that gives SMEs the context needed to assess the reliability and applicability of data</v>
      </c>
    </row>
    <row r="69" spans="1:2">
      <c r="A69" t="s">
        <v>883</v>
      </c>
      <c r="B69" t="str">
        <f>LEFT(A70,3)</f>
        <v xml:space="preserve"> A1</v>
      </c>
    </row>
    <row r="70" spans="1:2">
      <c r="A70" t="str">
        <f>I6</f>
        <v xml:space="preserve"> A1 guarantees seamless access to trusted datasets, enabling efficient validation and decision support</v>
      </c>
    </row>
    <row r="71" spans="1:2">
      <c r="A71" t="s">
        <v>883</v>
      </c>
      <c r="B71" t="str">
        <f>LEFT(A72,3)</f>
        <v xml:space="preserve"> I1</v>
      </c>
    </row>
    <row r="72" spans="1:2">
      <c r="A72" t="str">
        <f>I7</f>
        <v xml:space="preserve"> I1 allows integration of FAIR datasets with their domain expertise, making cross-disciplinary insights possible</v>
      </c>
    </row>
    <row r="73" spans="1:2">
      <c r="A73" t="s">
        <v>883</v>
      </c>
      <c r="B73" t="str">
        <f>LEFT(A74,3)</f>
        <v xml:space="preserve"> R1</v>
      </c>
    </row>
    <row r="74" spans="1:2">
      <c r="A74" t="str">
        <f>I8</f>
        <v xml:space="preserve"> R1.1 ensures reproducibility of findings, so SMEs can validate results confidently and build upon them.</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66C9145E-4637-4836-B9B4-F2DBB26A358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85B109F-39AA-4881-98E3-274D8C339662}">
          <x14:formula1>
            <xm:f>'2025-Personas-FAIR-cleaned'!$B$3:$B$40</xm:f>
          </x14:formula1>
          <xm:sqref>B3 E5:E12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29B5-C1AC-4370-89B0-59C13812029C}">
  <dimension ref="A1:X90"/>
  <sheetViews>
    <sheetView topLeftCell="A69" workbookViewId="0">
      <selection activeCell="A21" sqref="A21:C76"/>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c r="B3" s="98" t="s">
        <v>454</v>
      </c>
      <c r="C3" s="99" t="str">
        <f>_xlfn.XLOOKUP($B3,'2025-Personas-FAIR-cleaned'!$B$3:$B$40,'2025-Personas-FAIR-cleaned'!$D$3:$D$40)</f>
        <v xml:space="preserve">CIO/CTO/CDO-level role shaping enterprise technology and digital strategy with FAIR principles embedded} Senior Information and Digital Technology executive. The most senior executive in an enterprise who works with information technology and computer systems, in order to support enterprise goals.  May also drive digital transformations in a company or an organization. For example by  converting traditional "analog" businesses to ones relying on digital workflows and infrastructure. The CDO is responsible for whole process of digital transformation. </v>
      </c>
      <c r="D3" s="99" t="str">
        <f>_xlfn.XLOOKUP($B3,'2025-Personas-FAIR-cleaned'!$B$3:$B$40,'2025-Personas-FAIR-cleaned'!$G$3:$G$40)</f>
        <v>Chief Information Officer (CIO); Chief Digital Officer (CDO); Chief Data Officer (CDO); Chief AI Officer (CAIO)</v>
      </c>
      <c r="E3" s="100" t="str">
        <f>_xlfn.XLOOKUP($B3,'2025-Personas-FAIR-cleaned'!$B$3:$B$40,'2025-Personas-FAIR-cleaned'!$H$3:$H$40)</f>
        <v>FAIR_Data_Architect,Business_Analyst,Business_Leader,Business_Owner,Project_Manager,Technology_Leader</v>
      </c>
      <c r="F3" s="99" t="str">
        <f>_xlfn.XLOOKUP($B3,'2025-Personas-FAIR-cleaned'!$B$3:$B$40,'2025-Personas-FAIR-cleaned'!$K$3:$K$40)</f>
        <v>Technology leader.  Makes executive decisions regarding matters such as the technology strategies, resourcing strategies, purchase of information and communications technology (ICT) solutions from suppliers,  the creation of new ICT systems in-house and the overal capability. Leads and direct the workforce of their specific organization. Recruits managerial talent.  Formulates and execute the  ICT vision, strategy,  governance. Clarifies ICT accountability across functions and roles.  Chief Digital Officer may be a more business oriented role that provides expertise in Digital transformation, general management,  business analysis, adoption of digital technologies and workflows across functions. Reports to the executive teams and / or the board of directors. Reports to the CEO, or COO or CFO depending on the organisation.</v>
      </c>
      <c r="G3" s="99" t="str">
        <f>_xlfn.XLOOKUP($B3,'2025-Personas-FAIR-cleaned'!$B$3:$B$40,'2025-Personas-FAIR-cleaned'!$O$3:$O$40)</f>
        <v>Issues: Too many initiatives and not enough budget or resources.  Fragmented data landscape, poorly described data that are siloed, of poor quality, and not semantically connected based upon a complex IT systems landscape.  Business priorities dictate digital transformation to support data and AI intiatives but majority of budget is consumed by "business as usual" IT needs.. Latent gains: implementing FAIR principles would reduce these challenges and unlock efficiency, compliance, and reuse.</v>
      </c>
      <c r="H3" s="99" t="str">
        <f>_xlfn.XLOOKUP($B3,'2025-Personas-FAIR-cleaned'!$B$3:$B$40,'2025-Personas-FAIR-cleaned'!$M$3:$M$40)</f>
        <v>The adoption of FAIR principles delivers strategic and operational value across the data and technology landscape. By improving data quality, accessibility, and interoperability, FAIR makes the organization’s data ecosystem AI-ready and enhances the overall return on technology investments. It enables smoother data integration across platforms, reduces manual effort in data preparation, and minimizes the burden on scientific and technical resources. As a result, technology leaders can focus on accelerating digital transformation, scaling analytics and AI initiatives, and driving innovation through trusted, reusable data assets that support business growth and operational excellence.</v>
      </c>
      <c r="I3" s="99" t="str">
        <f>_xlfn.XLOOKUP($B3,'2025-Personas-FAIR-cleaned'!$B$3:$B$40,'2025-Personas-FAIR-cleaned'!$P$3:$P$40)</f>
        <v>F1 ensures persistent identifiers across the enterprise architecture, providing a foundation for scalable and trusted digital platforms; F2 delivers rich metadata that enables technology leaders to evaluate system interoperability and data readiness; A1 guarantees that enterprise data is reliably accessible via standardized protocols, reducing vendor lock-in and integration costs; I1/I2 enable interoperability and automation across the IT landscape, supporting digital transformation; R1.2 clarifies reuse conditions, allowing safe data sharing with partners and ecosystems; R1.3 promotes alignment with community and industry standards, strengthening the organization’s digital maturity and innovation capacity.</v>
      </c>
      <c r="J3" s="1"/>
      <c r="K3" s="1"/>
      <c r="L3" s="1"/>
      <c r="M3" s="1"/>
      <c r="N3" s="1"/>
      <c r="O3" s="1"/>
      <c r="P3" s="1"/>
      <c r="Q3" s="1"/>
      <c r="R3" s="1"/>
      <c r="S3" s="1"/>
      <c r="T3" s="1"/>
      <c r="U3" s="1"/>
      <c r="V3" s="1"/>
      <c r="W3" s="1"/>
      <c r="X3" s="1"/>
    </row>
    <row r="4" spans="1:24">
      <c r="D4" s="85" t="str" cm="1">
        <f t="array" ref="D4:D7">_xlfn.TEXTSPLIT(D3,,";")</f>
        <v>Chief Information Officer (CIO)</v>
      </c>
      <c r="E4" s="85" t="str" cm="1">
        <f t="array" ref="E4:E9">_xlfn.TEXTSPLIT(E3,,",")</f>
        <v>FAIR_Data_Architect</v>
      </c>
      <c r="G4" s="85" t="str" cm="1">
        <f t="array" ref="G4:G5">_xlfn.TEXTSPLIT(G3,,"Latent")</f>
        <v xml:space="preserve">Issues: Too many initiatives and not enough budget or resources.  Fragmented data landscape, poorly described data that are siloed, of poor quality, and not semantically connected based upon a complex IT systems landscape.  Business priorities dictate digital transformation to support data and AI intiatives but majority of budget is consumed by "business as usual" IT needs.. </v>
      </c>
      <c r="I4" s="85" t="str" cm="1">
        <f t="array" ref="I4:I9">_xlfn.TEXTSPLIT(I3,,";")</f>
        <v>F1 ensures persistent identifiers across the enterprise architecture, providing a foundation for scalable and trusted digital platforms</v>
      </c>
    </row>
    <row r="5" spans="1:24">
      <c r="D5" s="85" t="str">
        <v xml:space="preserve"> Chief Digital Officer (CDO)</v>
      </c>
      <c r="E5" s="97" t="str">
        <v>Business_Analyst</v>
      </c>
      <c r="G5" t="str">
        <v xml:space="preserve"> gains: implementing FAIR principles would reduce these challenges and unlock efficiency, compliance, and reuse.</v>
      </c>
      <c r="I5" t="str">
        <v xml:space="preserve"> F2 delivers rich metadata that enables technology leaders to evaluate system interoperability and data readiness</v>
      </c>
    </row>
    <row r="6" spans="1:24">
      <c r="D6" s="85" t="str">
        <v xml:space="preserve"> Chief Data Officer (CDO)</v>
      </c>
      <c r="E6" s="97" t="str">
        <v>Business_Leader</v>
      </c>
      <c r="I6" t="str">
        <v xml:space="preserve"> A1 guarantees that enterprise data is reliably accessible via standardized protocols, reducing vendor lock-in and integration costs</v>
      </c>
    </row>
    <row r="7" spans="1:24">
      <c r="D7" s="85" t="str">
        <v xml:space="preserve"> Chief AI Officer (CAIO)</v>
      </c>
      <c r="E7" s="97" t="str">
        <v>Business_Owner</v>
      </c>
      <c r="I7" t="str">
        <v xml:space="preserve"> I1/I2 enable interoperability and automation across the IT landscape, supporting digital transformation</v>
      </c>
    </row>
    <row r="8" spans="1:24">
      <c r="D8" s="85"/>
      <c r="E8" s="97" t="str">
        <v>Project_Manager</v>
      </c>
      <c r="I8" t="str">
        <v xml:space="preserve"> R1.2 clarifies reuse conditions, allowing safe data sharing with partners and ecosystems</v>
      </c>
    </row>
    <row r="9" spans="1:24">
      <c r="D9" s="85"/>
      <c r="E9" s="97" t="str">
        <v>Technology_Leader</v>
      </c>
      <c r="I9" t="str">
        <v xml:space="preserve"> R1.3 promotes alignment with community and industry standards, strengthening the organization’s digital maturity and innovation capacity.</v>
      </c>
    </row>
    <row r="10" spans="1:24">
      <c r="D10" s="85"/>
      <c r="E10" s="97"/>
    </row>
    <row r="11" spans="1:24">
      <c r="E11" s="97"/>
    </row>
    <row r="12" spans="1:24">
      <c r="E12" s="97"/>
    </row>
    <row r="16" spans="1:24">
      <c r="A16" s="4" t="s">
        <v>868</v>
      </c>
      <c r="B16" s="56" t="s">
        <v>869</v>
      </c>
    </row>
    <row r="17" spans="1:3">
      <c r="A17" s="4" t="s">
        <v>870</v>
      </c>
      <c r="B17" t="str">
        <f>CONCATENATE(B3,".md")</f>
        <v>Technology_Leader.md</v>
      </c>
    </row>
    <row r="19" spans="1:3" s="94" customFormat="1">
      <c r="A19" s="93" t="s">
        <v>871</v>
      </c>
    </row>
    <row r="21" spans="1:3">
      <c r="A21" t="s">
        <v>872</v>
      </c>
      <c r="B21" t="str">
        <f>B3</f>
        <v>Technology_Leader</v>
      </c>
    </row>
    <row r="22" spans="1:3">
      <c r="A22" t="str">
        <f>CONCATENATE("[",B3,"]","(",B16,B3,")")</f>
        <v>[Technology_Leader](https://pistoiaalliance.github.io/FAIRMaturityMatrix/FAIR_personas/Technology_Leader)</v>
      </c>
    </row>
    <row r="24" spans="1:3">
      <c r="A24" t="s">
        <v>873</v>
      </c>
      <c r="B24" t="s">
        <v>874</v>
      </c>
      <c r="C24" t="str">
        <f>$B$3</f>
        <v>Technology_Leader</v>
      </c>
    </row>
    <row r="25" spans="1:3" ht="30">
      <c r="A25" t="s">
        <v>875</v>
      </c>
      <c r="B25" s="1" t="str">
        <f>CONCATENATE(B24," ",C24)</f>
        <v>Synonyms of  Technology_Leader</v>
      </c>
      <c r="C25" t="s">
        <v>875</v>
      </c>
    </row>
    <row r="26" spans="1:3">
      <c r="A26" t="s">
        <v>875</v>
      </c>
      <c r="B26" t="s">
        <v>876</v>
      </c>
      <c r="C26" t="s">
        <v>875</v>
      </c>
    </row>
    <row r="27" spans="1:3">
      <c r="A27" t="s">
        <v>875</v>
      </c>
      <c r="B27" t="str">
        <f t="shared" ref="B27:B33" si="0">D4</f>
        <v>Chief Information Officer (CIO)</v>
      </c>
      <c r="C27" t="s">
        <v>875</v>
      </c>
    </row>
    <row r="28" spans="1:3">
      <c r="A28" t="s">
        <v>875</v>
      </c>
      <c r="B28" t="str">
        <f t="shared" si="0"/>
        <v xml:space="preserve"> Chief Digital Officer (CDO)</v>
      </c>
      <c r="C28" t="s">
        <v>875</v>
      </c>
    </row>
    <row r="29" spans="1:3">
      <c r="A29" t="s">
        <v>875</v>
      </c>
      <c r="B29" t="str">
        <f t="shared" si="0"/>
        <v xml:space="preserve"> Chief Data Officer (CDO)</v>
      </c>
      <c r="C29" t="s">
        <v>875</v>
      </c>
    </row>
    <row r="30" spans="1:3">
      <c r="A30" t="s">
        <v>875</v>
      </c>
      <c r="B30" t="str">
        <f t="shared" si="0"/>
        <v xml:space="preserve"> Chief AI Officer (CAIO)</v>
      </c>
      <c r="C30" t="s">
        <v>875</v>
      </c>
    </row>
    <row r="31" spans="1:3">
      <c r="A31" t="s">
        <v>875</v>
      </c>
      <c r="B31">
        <f t="shared" si="0"/>
        <v>0</v>
      </c>
      <c r="C31" t="s">
        <v>875</v>
      </c>
    </row>
    <row r="32" spans="1:3">
      <c r="A32" t="s">
        <v>875</v>
      </c>
      <c r="B32">
        <f t="shared" si="0"/>
        <v>0</v>
      </c>
      <c r="C32" t="s">
        <v>875</v>
      </c>
    </row>
    <row r="33" spans="1:3">
      <c r="A33" t="s">
        <v>875</v>
      </c>
      <c r="B33">
        <f t="shared" si="0"/>
        <v>0</v>
      </c>
      <c r="C33" t="s">
        <v>875</v>
      </c>
    </row>
    <row r="35" spans="1:3">
      <c r="A35" t="s">
        <v>873</v>
      </c>
      <c r="B35" t="s">
        <v>877</v>
      </c>
      <c r="C35" t="str">
        <f>$B$3</f>
        <v>Technology_Leader</v>
      </c>
    </row>
    <row r="36" spans="1:3">
      <c r="A36" t="str">
        <f>C3</f>
        <v xml:space="preserve">CIO/CTO/CDO-level role shaping enterprise technology and digital strategy with FAIR principles embedded} Senior Information and Digital Technology executive. The most senior executive in an enterprise who works with information technology and computer systems, in order to support enterprise goals.  May also drive digital transformations in a company or an organization. For example by  converting traditional "analog" businesses to ones relying on digital workflows and infrastructure. The CDO is responsible for whole process of digital transformation. </v>
      </c>
    </row>
    <row r="39" spans="1:3">
      <c r="A39" s="69" t="s">
        <v>878</v>
      </c>
      <c r="B39" t="s">
        <v>879</v>
      </c>
      <c r="C39" t="str">
        <f>$B$3</f>
        <v>Technology_Leader</v>
      </c>
    </row>
    <row r="40" spans="1:3" ht="45">
      <c r="A40" t="s">
        <v>875</v>
      </c>
      <c r="B40" s="1" t="str">
        <f>CONCATENATE(B39," ",C39)</f>
        <v>FAIR persona related to  Technology_Leader</v>
      </c>
      <c r="C40" t="s">
        <v>875</v>
      </c>
    </row>
    <row r="41" spans="1:3">
      <c r="A41" t="s">
        <v>875</v>
      </c>
      <c r="B41" t="s">
        <v>876</v>
      </c>
      <c r="C41" t="s">
        <v>875</v>
      </c>
    </row>
    <row r="42" spans="1:3" ht="90">
      <c r="A42" t="s">
        <v>875</v>
      </c>
      <c r="B42" s="1" t="str">
        <f>CONCATENATE("[",E4,"]","(",$B$16,E4,")")</f>
        <v>[FAIR_Data_Architect](https://pistoiaalliance.github.io/FAIRMaturityMatrix/FAIR_personas/FAIR_Data_Architect)</v>
      </c>
      <c r="C42" t="s">
        <v>875</v>
      </c>
    </row>
    <row r="43" spans="1:3">
      <c r="A43" t="s">
        <v>875</v>
      </c>
      <c r="B43" t="str">
        <f t="shared" ref="B43:B49" si="1">CONCATENATE("[",E5,"]","(",$B$16,E5,")")</f>
        <v>[Business_Analyst](https://pistoiaalliance.github.io/FAIRMaturityMatrix/FAIR_personas/Business_Analyst)</v>
      </c>
      <c r="C43" t="s">
        <v>875</v>
      </c>
    </row>
    <row r="44" spans="1:3">
      <c r="A44" t="s">
        <v>875</v>
      </c>
      <c r="B44" t="str">
        <f t="shared" si="1"/>
        <v>[Business_Leader](https://pistoiaalliance.github.io/FAIRMaturityMatrix/FAIR_personas/Business_Leader)</v>
      </c>
      <c r="C44" t="s">
        <v>875</v>
      </c>
    </row>
    <row r="45" spans="1:3">
      <c r="A45" t="s">
        <v>875</v>
      </c>
      <c r="B45" t="str">
        <f t="shared" si="1"/>
        <v>[Business_Owner](https://pistoiaalliance.github.io/FAIRMaturityMatrix/FAIR_personas/Business_Owner)</v>
      </c>
      <c r="C45" t="s">
        <v>875</v>
      </c>
    </row>
    <row r="46" spans="1:3">
      <c r="A46" t="s">
        <v>875</v>
      </c>
      <c r="B46" t="str">
        <f t="shared" si="1"/>
        <v>[Project_Manager](https://pistoiaalliance.github.io/FAIRMaturityMatrix/FAIR_personas/Project_Manager)</v>
      </c>
      <c r="C46" t="s">
        <v>875</v>
      </c>
    </row>
    <row r="47" spans="1:3">
      <c r="A47" t="s">
        <v>875</v>
      </c>
      <c r="B47" t="str">
        <f t="shared" si="1"/>
        <v>[Technology_Leader](https://pistoiaalliance.github.io/FAIRMaturityMatrix/FAIR_personas/Technology_Leader)</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Technology_Leader</v>
      </c>
    </row>
    <row r="52" spans="1:3">
      <c r="A52" t="str">
        <f>F3</f>
        <v>Technology leader.  Makes executive decisions regarding matters such as the technology strategies, resourcing strategies, purchase of information and communications technology (ICT) solutions from suppliers,  the creation of new ICT systems in-house and the overal capability. Leads and direct the workforce of their specific organization. Recruits managerial talent.  Formulates and execute the  ICT vision, strategy,  governance. Clarifies ICT accountability across functions and roles.  Chief Digital Officer may be a more business oriented role that provides expertise in Digital transformation, general management,  business analysis, adoption of digital technologies and workflows across functions. Reports to the executive teams and / or the board of directors. Reports to the CEO, or COO or CFO depending on the organisation.</v>
      </c>
    </row>
    <row r="55" spans="1:3">
      <c r="A55" t="s">
        <v>881</v>
      </c>
      <c r="B55" s="69" t="s">
        <v>882</v>
      </c>
      <c r="C55" t="str">
        <f>$B$3</f>
        <v>Technology_Leader</v>
      </c>
    </row>
    <row r="56" spans="1:3">
      <c r="A56" t="s">
        <v>883</v>
      </c>
      <c r="B56" t="s">
        <v>884</v>
      </c>
      <c r="C56" t="str">
        <f>$B$3</f>
        <v>Technology_Leader</v>
      </c>
    </row>
    <row r="57" spans="1:3">
      <c r="A57" t="str">
        <f>G4</f>
        <v xml:space="preserve">Issues: Too many initiatives and not enough budget or resources.  Fragmented data landscape, poorly described data that are siloed, of poor quality, and not semantically connected based upon a complex IT systems landscape.  Business priorities dictate digital transformation to support data and AI intiatives but majority of budget is consumed by "business as usual" IT needs.. </v>
      </c>
    </row>
    <row r="58" spans="1:3">
      <c r="A58" t="s">
        <v>883</v>
      </c>
      <c r="B58" t="s">
        <v>885</v>
      </c>
      <c r="C58" t="str">
        <f>$B$3</f>
        <v>Technology_Leader</v>
      </c>
    </row>
    <row r="59" spans="1:3">
      <c r="A59" t="str">
        <f>CONCATENATE("Latent ",G5)</f>
        <v>Latent  gains: implementing FAIR principles would reduce these challenges and unlock efficiency, compliance, and reuse.</v>
      </c>
    </row>
    <row r="62" spans="1:3">
      <c r="A62" t="s">
        <v>873</v>
      </c>
      <c r="B62" s="69" t="s">
        <v>886</v>
      </c>
      <c r="C62" t="str">
        <f>$B$3</f>
        <v>Technology_Leader</v>
      </c>
    </row>
    <row r="63" spans="1:3">
      <c r="A63" s="69" t="str">
        <f>H3</f>
        <v>The adoption of FAIR principles delivers strategic and operational value across the data and technology landscape. By improving data quality, accessibility, and interoperability, FAIR makes the organization’s data ecosystem AI-ready and enhances the overall return on technology investments. It enables smoother data integration across platforms, reduces manual effort in data preparation, and minimizes the burden on scientific and technical resources. As a result, technology leaders can focus on accelerating digital transformation, scaling analytics and AI initiatives, and driving innovation through trusted, reusable data assets that support business growth and operational excellence.</v>
      </c>
    </row>
    <row r="64" spans="1:3">
      <c r="B64" s="69"/>
    </row>
    <row r="65" spans="1:2">
      <c r="A65" t="s">
        <v>883</v>
      </c>
      <c r="B65" t="str">
        <f>LEFT(A66,3)</f>
        <v xml:space="preserve">F1 </v>
      </c>
    </row>
    <row r="66" spans="1:2">
      <c r="A66" t="str">
        <f>I4</f>
        <v>F1 ensures persistent identifiers across the enterprise architecture, providing a foundation for scalable and trusted digital platforms</v>
      </c>
    </row>
    <row r="67" spans="1:2">
      <c r="A67" t="s">
        <v>883</v>
      </c>
      <c r="B67" t="str">
        <f>LEFT(A68,3)</f>
        <v xml:space="preserve"> F2</v>
      </c>
    </row>
    <row r="68" spans="1:2">
      <c r="A68" t="str">
        <f>I5</f>
        <v xml:space="preserve"> F2 delivers rich metadata that enables technology leaders to evaluate system interoperability and data readiness</v>
      </c>
    </row>
    <row r="69" spans="1:2">
      <c r="A69" t="s">
        <v>883</v>
      </c>
      <c r="B69" t="str">
        <f>LEFT(A70,3)</f>
        <v xml:space="preserve"> A1</v>
      </c>
    </row>
    <row r="70" spans="1:2">
      <c r="A70" t="str">
        <f>I6</f>
        <v xml:space="preserve"> A1 guarantees that enterprise data is reliably accessible via standardized protocols, reducing vendor lock-in and integration costs</v>
      </c>
    </row>
    <row r="71" spans="1:2">
      <c r="A71" t="s">
        <v>883</v>
      </c>
      <c r="B71" t="str">
        <f>LEFT(A72,3)</f>
        <v xml:space="preserve"> I1</v>
      </c>
    </row>
    <row r="72" spans="1:2">
      <c r="A72" t="str">
        <f>I7</f>
        <v xml:space="preserve"> I1/I2 enable interoperability and automation across the IT landscape, supporting digital transformation</v>
      </c>
    </row>
    <row r="73" spans="1:2">
      <c r="A73" t="s">
        <v>883</v>
      </c>
      <c r="B73" t="str">
        <f>LEFT(A74,3)</f>
        <v xml:space="preserve"> R1</v>
      </c>
    </row>
    <row r="74" spans="1:2">
      <c r="A74" t="str">
        <f>I8</f>
        <v xml:space="preserve"> R1.2 clarifies reuse conditions, allowing safe data sharing with partners and ecosystems</v>
      </c>
    </row>
    <row r="75" spans="1:2">
      <c r="A75" t="s">
        <v>883</v>
      </c>
      <c r="B75" t="str">
        <f>LEFT(A76,3)</f>
        <v xml:space="preserve"> R1</v>
      </c>
    </row>
    <row r="76" spans="1:2">
      <c r="A76" t="str">
        <f>I9</f>
        <v xml:space="preserve"> R1.3 promotes alignment with community and industry standards, strengthening the organization’s digital maturity and innovation capacity.</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C61B9A31-3892-437D-86A5-2819D5E6E20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0AC52F5-29BC-43A0-8235-F81A460F317B}">
          <x14:formula1>
            <xm:f>'2025-Personas-FAIR-cleaned'!$B$3:$B$40</xm:f>
          </x14:formula1>
          <xm:sqref>B3 E5:E12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FDE2-E7D3-44C0-B0E2-EB472E1C3D7E}">
  <dimension ref="A1:X90"/>
  <sheetViews>
    <sheetView topLeftCell="A70" workbookViewId="0">
      <selection activeCell="A21" sqref="A21:D90"/>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168</v>
      </c>
      <c r="B3" s="98" t="s">
        <v>169</v>
      </c>
      <c r="C3" s="99" t="str">
        <f>_xlfn.XLOOKUP($B3,'2025-Personas-FAIR-cleaned'!$B$3:$B$40,'2025-Personas-FAIR-cleaned'!$D$3:$D$40)</f>
        <v>In an organization, personnel holding roles such as CEO, CFO, CTO, COO, or Functional Line Leaders with executive and strategy level decision- making capacities.</v>
      </c>
      <c r="D3" s="99" t="str">
        <f>_xlfn.XLOOKUP($B3,'2025-Personas-FAIR-cleaned'!$B$3:$B$40,'2025-Personas-FAIR-cleaned'!$G$3:$G$40)</f>
        <v>Chief Executive Officer (CEO); Chief Operating Officer (COO); Chief Financial Officer (CFO); Functional Line Leader; Head of R&amp;D; Head of Manufacturing; Head of CMC; Head of Supply Chain Operations;</v>
      </c>
      <c r="E3" s="100" t="str">
        <f>_xlfn.XLOOKUP($B3,'2025-Personas-FAIR-cleaned'!$B$3:$B$40,'2025-Personas-FAIR-cleaned'!$H$3:$H$40)</f>
        <v>Business_Analyst,Business_Leader,Business_Owner,Project_Manager,Technology_Leader</v>
      </c>
      <c r="F3" s="99" t="str">
        <f>_xlfn.XLOOKUP($B3,'2025-Personas-FAIR-cleaned'!$B$3:$B$40,'2025-Personas-FAIR-cleaned'!$K$3:$K$40)</f>
        <v xml:space="preserve">Making data-driven strategic decisions, performance and KPI management, engaging with investors and stakeholders with reliable data, enabling digital and data transformation, managing risk and compliance, supporting M&amp;A, licensing, and due diligence
</v>
      </c>
      <c r="G3" s="99" t="str">
        <f>_xlfn.XLOOKUP($B3,'2025-Personas-FAIR-cleaned'!$B$3:$B$40,'2025-Personas-FAIR-cleaned'!$O$3:$O$40)</f>
        <v>Issues: Data fragmentation, data in silos, poor data re-usability, lack in visibility into data (which data do we have? Can we trust it?), barriers for scaling AI/ML initiatives, compliance and data governance risks. Latent gains: implementing FAIR principles would reduce these challenges and unlock efficiency, compliance, and reuse.</v>
      </c>
      <c r="H3" s="99" t="str">
        <f>_xlfn.XLOOKUP($B3,'2025-Personas-FAIR-cleaned'!$B$3:$B$40,'2025-Personas-FAIR-cleaned'!$M$3:$M$40)</f>
        <v>For Business Leaders in a pharmaceutical company, implementing FAIR data principles delivers  strategic, operational, and financial advantages:
1- establish a foundation for digital transformation, enabling enterprise-wide data integration across R&amp;D, manufacturing, regulatory, and commercial operations. Executives gain trusted, real-time visibility into the organization’s data assets, accelerating strategic decision-making and reducing dependency on fragmented systems or manual reporting.
2-  drive innovation and speed-to-market by making high-quality data readily reusable for AI, machine learning, and predictive modeling—shortening development cycles, improving clinical trial design, and identifying portfolio opportunities faster.
3-   reduce operational costs and risks by minimizing data duplication, automating data governance, and enabling scalable management of petabytes of information under consistent standards and archiving policies.
4-  enhance regulatory compliance, audit readiness, and partner interoperability, positioning the organization as a trusted, data-driven leader in a rapidly evolving digital health ecosystem.</v>
      </c>
      <c r="I3" s="99" t="str">
        <f>_xlfn.XLOOKUP($B3,'2025-Personas-FAIR-cleaned'!$B$3:$B$40,'2025-Personas-FAIR-cleaned'!$P$3:$P$40)</f>
        <v>F1. Enables enterprise-wide data traceability and eliminates duplication, giving executives visibility and accountability for all critical data assets. ; F2. Improves data discoverability and context, accelerating evidence-based decision-making across R&amp;D, clinical, and manufacturing domains.; F3. Strengthens data lineage and provenance, ensuring trustworthy, audit-ready information for regulatory compliance.; F4. Provides centralized visibility of data assets through searchable catalogs and dashboards for strategic oversight and resource planning.; A1. Ensures consistent, standardized access to validated data across systems, reducing manual effort and delays.; A2. Balances open access with secure authorization, protecting intellectual property and patient data while enabling collaboration.; I1. Promotes seamless data exchange across functions, reducing vendor lock-in and integration costs.; I2. Standardizes vocabularies and formats, supporting scalable data governance and automation at petabyte scale.; I3. Connects datasets through qualified references, revealing relationships across the value chain for portfolio and pipeline optimization.;R1. Ensures data are complete, accurate, and meaningful for reuse in analytics, AI, and digital innovation.; R1.1. Clarifies data usage rights, reducing legal uncertainty and enabling confident external collaboration.; R1.2. Provides full provenance for audit trails, reinforcing data integrity and regulatory readiness.; R1.3. Aligns data with community and regulatory standards (e.g., CDISC, IDMP), ensuring compliance and interoperability.;</v>
      </c>
      <c r="J3" s="1"/>
      <c r="K3" s="1"/>
      <c r="L3" s="1"/>
      <c r="M3" s="1"/>
      <c r="N3" s="1"/>
      <c r="O3" s="1"/>
      <c r="P3" s="1"/>
      <c r="Q3" s="1"/>
      <c r="R3" s="1"/>
      <c r="S3" s="1"/>
      <c r="T3" s="1"/>
      <c r="U3" s="1"/>
      <c r="V3" s="1"/>
      <c r="W3" s="1"/>
      <c r="X3" s="1"/>
    </row>
    <row r="4" spans="1:24">
      <c r="D4" s="85" t="str" cm="1">
        <f t="array" ref="D4:D12">_xlfn.TEXTSPLIT(D3,,";")</f>
        <v>Chief Executive Officer (CEO)</v>
      </c>
      <c r="E4" s="85" t="str" cm="1">
        <f t="array" ref="E4:E8">_xlfn.TEXTSPLIT(E3,,",")</f>
        <v>Business_Analyst</v>
      </c>
      <c r="G4" s="85" t="str" cm="1">
        <f t="array" ref="G4:G5">_xlfn.TEXTSPLIT(G3,,"Latent")</f>
        <v xml:space="preserve">Issues: Data fragmentation, data in silos, poor data re-usability, lack in visibility into data (which data do we have? Can we trust it?), barriers for scaling AI/ML initiatives, compliance and data governance risks. </v>
      </c>
      <c r="I4" s="85" t="str" cm="1">
        <f t="array" ref="I4:I17">_xlfn.TEXTSPLIT(I3,,";")</f>
        <v xml:space="preserve">F1. Enables enterprise-wide data traceability and eliminates duplication, giving executives visibility and accountability for all critical data assets. </v>
      </c>
    </row>
    <row r="5" spans="1:24">
      <c r="D5" s="85" t="str">
        <v xml:space="preserve"> Chief Operating Officer (COO)</v>
      </c>
      <c r="E5" s="97" t="str">
        <v>Business_Leader</v>
      </c>
      <c r="G5" t="str">
        <v xml:space="preserve"> gains: implementing FAIR principles would reduce these challenges and unlock efficiency, compliance, and reuse.</v>
      </c>
      <c r="I5" t="str">
        <v xml:space="preserve"> F2. Improves data discoverability and context, accelerating evidence-based decision-making across R&amp;D, clinical, and manufacturing domains.</v>
      </c>
    </row>
    <row r="6" spans="1:24">
      <c r="D6" s="85" t="str">
        <v xml:space="preserve"> Chief Financial Officer (CFO)</v>
      </c>
      <c r="E6" s="97" t="str">
        <v>Business_Owner</v>
      </c>
      <c r="I6" t="str">
        <v xml:space="preserve"> F3. Strengthens data lineage and provenance, ensuring trustworthy, audit-ready information for regulatory compliance.</v>
      </c>
    </row>
    <row r="7" spans="1:24">
      <c r="D7" s="85" t="str">
        <v xml:space="preserve"> Functional Line Leader</v>
      </c>
      <c r="E7" s="97" t="str">
        <v>Project_Manager</v>
      </c>
      <c r="I7" t="str">
        <v xml:space="preserve"> F4. Provides centralized visibility of data assets through searchable catalogs and dashboards for strategic oversight and resource planning.</v>
      </c>
    </row>
    <row r="8" spans="1:24">
      <c r="D8" s="85" t="str">
        <v xml:space="preserve"> Head of R&amp;D</v>
      </c>
      <c r="E8" s="97" t="str">
        <v>Technology_Leader</v>
      </c>
      <c r="I8" t="str">
        <v xml:space="preserve"> A1. Ensures consistent, standardized access to validated data across systems, reducing manual effort and delays.</v>
      </c>
    </row>
    <row r="9" spans="1:24">
      <c r="D9" s="85" t="str">
        <v xml:space="preserve"> Head of Manufacturing</v>
      </c>
      <c r="E9" s="97"/>
      <c r="I9" t="str">
        <v xml:space="preserve"> A2. Balances open access with secure authorization, protecting intellectual property and patient data while enabling collaboration.</v>
      </c>
    </row>
    <row r="10" spans="1:24">
      <c r="D10" s="85" t="str">
        <v xml:space="preserve"> Head of CMC</v>
      </c>
      <c r="E10" s="97"/>
      <c r="I10" t="str">
        <v xml:space="preserve"> I1. Promotes seamless data exchange across functions, reducing vendor lock-in and integration costs.</v>
      </c>
    </row>
    <row r="11" spans="1:24">
      <c r="D11" t="str">
        <v xml:space="preserve"> Head of Supply Chain Operations</v>
      </c>
      <c r="E11" s="97"/>
      <c r="I11" t="str">
        <v xml:space="preserve"> I2. Standardizes vocabularies and formats, supporting scalable data governance and automation at petabyte scale.</v>
      </c>
    </row>
    <row r="12" spans="1:24">
      <c r="D12" t="str">
        <v/>
      </c>
      <c r="E12" s="97"/>
      <c r="I12" t="str">
        <v xml:space="preserve"> I3. Connects datasets through qualified references, revealing relationships across the value chain for portfolio and pipeline optimization.</v>
      </c>
    </row>
    <row r="13" spans="1:24">
      <c r="I13" t="str">
        <v>R1. Ensures data are complete, accurate, and meaningful for reuse in analytics, AI, and digital innovation.</v>
      </c>
    </row>
    <row r="14" spans="1:24">
      <c r="I14" t="str">
        <v xml:space="preserve"> R1.1. Clarifies data usage rights, reducing legal uncertainty and enabling confident external collaboration.</v>
      </c>
    </row>
    <row r="15" spans="1:24">
      <c r="I15" t="str">
        <v xml:space="preserve"> R1.2. Provides full provenance for audit trails, reinforcing data integrity and regulatory readiness.</v>
      </c>
    </row>
    <row r="16" spans="1:24">
      <c r="A16" s="4" t="s">
        <v>868</v>
      </c>
      <c r="B16" s="56" t="s">
        <v>869</v>
      </c>
      <c r="I16" t="str">
        <v xml:space="preserve"> R1.3. Aligns data with community and regulatory standards (e.g., CDISC, IDMP), ensuring compliance and interoperability.</v>
      </c>
    </row>
    <row r="17" spans="1:9">
      <c r="A17" s="4" t="s">
        <v>870</v>
      </c>
      <c r="B17" t="str">
        <f>CONCATENATE(B3,".md")</f>
        <v>Business_Leader.md</v>
      </c>
      <c r="I17" t="str">
        <v/>
      </c>
    </row>
    <row r="19" spans="1:9" s="94" customFormat="1">
      <c r="A19" s="93" t="s">
        <v>871</v>
      </c>
    </row>
    <row r="21" spans="1:9">
      <c r="A21" t="s">
        <v>872</v>
      </c>
      <c r="B21" t="str">
        <f>B3</f>
        <v>Business_Leader</v>
      </c>
    </row>
    <row r="22" spans="1:9">
      <c r="A22" t="str">
        <f>CONCATENATE("[",B3,"]","(",B16,B3,")")</f>
        <v>[Business_Leader](https://pistoiaalliance.github.io/FAIRMaturityMatrix/FAIR_personas/Business_Leader)</v>
      </c>
    </row>
    <row r="24" spans="1:9">
      <c r="A24" t="s">
        <v>873</v>
      </c>
      <c r="B24" t="s">
        <v>874</v>
      </c>
      <c r="C24" t="str">
        <f>$B$3</f>
        <v>Business_Leader</v>
      </c>
    </row>
    <row r="25" spans="1:9" ht="30">
      <c r="A25" t="s">
        <v>875</v>
      </c>
      <c r="B25" s="1" t="str">
        <f>CONCATENATE(B24," ",C24)</f>
        <v>Synonyms of  Business_Leader</v>
      </c>
      <c r="C25" t="s">
        <v>875</v>
      </c>
    </row>
    <row r="26" spans="1:9">
      <c r="A26" t="s">
        <v>875</v>
      </c>
      <c r="B26" t="s">
        <v>876</v>
      </c>
      <c r="C26" t="s">
        <v>875</v>
      </c>
    </row>
    <row r="27" spans="1:9">
      <c r="A27" t="s">
        <v>875</v>
      </c>
      <c r="B27" t="str">
        <f t="shared" ref="B27:B33" si="0">D4</f>
        <v>Chief Executive Officer (CEO)</v>
      </c>
      <c r="C27" t="s">
        <v>875</v>
      </c>
    </row>
    <row r="28" spans="1:9">
      <c r="A28" t="s">
        <v>875</v>
      </c>
      <c r="B28" t="str">
        <f t="shared" si="0"/>
        <v xml:space="preserve"> Chief Operating Officer (COO)</v>
      </c>
      <c r="C28" t="s">
        <v>875</v>
      </c>
    </row>
    <row r="29" spans="1:9">
      <c r="A29" t="s">
        <v>875</v>
      </c>
      <c r="B29" t="str">
        <f t="shared" si="0"/>
        <v xml:space="preserve"> Chief Financial Officer (CFO)</v>
      </c>
      <c r="C29" t="s">
        <v>875</v>
      </c>
    </row>
    <row r="30" spans="1:9">
      <c r="A30" t="s">
        <v>875</v>
      </c>
      <c r="B30" t="str">
        <f t="shared" si="0"/>
        <v xml:space="preserve"> Functional Line Leader</v>
      </c>
      <c r="C30" t="s">
        <v>875</v>
      </c>
    </row>
    <row r="31" spans="1:9">
      <c r="A31" t="s">
        <v>875</v>
      </c>
      <c r="B31" t="str">
        <f t="shared" si="0"/>
        <v xml:space="preserve"> Head of R&amp;D</v>
      </c>
      <c r="C31" t="s">
        <v>875</v>
      </c>
    </row>
    <row r="32" spans="1:9">
      <c r="A32" t="s">
        <v>875</v>
      </c>
      <c r="B32" t="str">
        <f t="shared" si="0"/>
        <v xml:space="preserve"> Head of Manufacturing</v>
      </c>
      <c r="C32" t="s">
        <v>875</v>
      </c>
    </row>
    <row r="33" spans="1:3">
      <c r="A33" t="s">
        <v>875</v>
      </c>
      <c r="B33" t="str">
        <f t="shared" si="0"/>
        <v xml:space="preserve"> Head of CMC</v>
      </c>
      <c r="C33" t="s">
        <v>875</v>
      </c>
    </row>
    <row r="35" spans="1:3">
      <c r="A35" t="s">
        <v>873</v>
      </c>
      <c r="B35" t="s">
        <v>877</v>
      </c>
      <c r="C35" t="str">
        <f>$B$3</f>
        <v>Business_Leader</v>
      </c>
    </row>
    <row r="36" spans="1:3">
      <c r="A36" t="str">
        <f>C3</f>
        <v>In an organization, personnel holding roles such as CEO, CFO, CTO, COO, or Functional Line Leaders with executive and strategy level decision- making capacities.</v>
      </c>
    </row>
    <row r="39" spans="1:3">
      <c r="A39" s="69" t="s">
        <v>878</v>
      </c>
      <c r="B39" t="s">
        <v>879</v>
      </c>
      <c r="C39" t="str">
        <f>$B$3</f>
        <v>Business_Leader</v>
      </c>
    </row>
    <row r="40" spans="1:3" ht="30">
      <c r="A40" t="s">
        <v>875</v>
      </c>
      <c r="B40" s="1" t="str">
        <f>CONCATENATE(B39," ",C39)</f>
        <v>FAIR persona related to  Business_Leader</v>
      </c>
      <c r="C40" t="s">
        <v>875</v>
      </c>
    </row>
    <row r="41" spans="1:3">
      <c r="A41" t="s">
        <v>875</v>
      </c>
      <c r="B41" t="s">
        <v>876</v>
      </c>
      <c r="C41" t="s">
        <v>875</v>
      </c>
    </row>
    <row r="42" spans="1:3" ht="75">
      <c r="A42" t="s">
        <v>875</v>
      </c>
      <c r="B42" s="1" t="str">
        <f>CONCATENATE("[",E4,"]","(",$B$16,E4,")")</f>
        <v>[Business_Analyst](https://pistoiaalliance.github.io/FAIRMaturityMatrix/FAIR_personas/Business_Analyst)</v>
      </c>
      <c r="C42" t="s">
        <v>875</v>
      </c>
    </row>
    <row r="43" spans="1:3">
      <c r="A43" t="s">
        <v>875</v>
      </c>
      <c r="B43" t="str">
        <f t="shared" ref="B43:B49" si="1">CONCATENATE("[",E5,"]","(",$B$16,E5,")")</f>
        <v>[Business_Leader](https://pistoiaalliance.github.io/FAIRMaturityMatrix/FAIR_personas/Business_Leader)</v>
      </c>
      <c r="C43" t="s">
        <v>875</v>
      </c>
    </row>
    <row r="44" spans="1:3">
      <c r="A44" t="s">
        <v>875</v>
      </c>
      <c r="B44" t="str">
        <f t="shared" si="1"/>
        <v>[Business_Owner](https://pistoiaalliance.github.io/FAIRMaturityMatrix/FAIR_personas/Business_Owner)</v>
      </c>
      <c r="C44" t="s">
        <v>875</v>
      </c>
    </row>
    <row r="45" spans="1:3">
      <c r="A45" t="s">
        <v>875</v>
      </c>
      <c r="B45" t="str">
        <f t="shared" si="1"/>
        <v>[Project_Manager](https://pistoiaalliance.github.io/FAIRMaturityMatrix/FAIR_personas/Project_Manager)</v>
      </c>
      <c r="C45" t="s">
        <v>875</v>
      </c>
    </row>
    <row r="46" spans="1:3">
      <c r="A46" t="s">
        <v>875</v>
      </c>
      <c r="B46" t="str">
        <f t="shared" si="1"/>
        <v>[Technology_Leader](https://pistoiaalliance.github.io/FAIRMaturityMatrix/FAIR_personas/Technology_Leader)</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Business_Leader</v>
      </c>
    </row>
    <row r="52" spans="1:3">
      <c r="A52" t="str">
        <f>F3</f>
        <v xml:space="preserve">Making data-driven strategic decisions, performance and KPI management, engaging with investors and stakeholders with reliable data, enabling digital and data transformation, managing risk and compliance, supporting M&amp;A, licensing, and due diligence
</v>
      </c>
    </row>
    <row r="55" spans="1:3">
      <c r="A55" t="s">
        <v>881</v>
      </c>
      <c r="B55" s="69" t="s">
        <v>882</v>
      </c>
      <c r="C55" t="str">
        <f>$B$3</f>
        <v>Business_Leader</v>
      </c>
    </row>
    <row r="56" spans="1:3">
      <c r="A56" t="s">
        <v>883</v>
      </c>
      <c r="B56" t="s">
        <v>884</v>
      </c>
      <c r="C56" t="str">
        <f>$B$3</f>
        <v>Business_Leader</v>
      </c>
    </row>
    <row r="57" spans="1:3">
      <c r="A57" t="str">
        <f>G4</f>
        <v xml:space="preserve">Issues: Data fragmentation, data in silos, poor data re-usability, lack in visibility into data (which data do we have? Can we trust it?), barriers for scaling AI/ML initiatives, compliance and data governance risks. </v>
      </c>
    </row>
    <row r="58" spans="1:3">
      <c r="A58" t="s">
        <v>883</v>
      </c>
      <c r="B58" t="s">
        <v>885</v>
      </c>
      <c r="C58" t="str">
        <f>$B$3</f>
        <v>Business_Leader</v>
      </c>
    </row>
    <row r="59" spans="1:3">
      <c r="A59" t="str">
        <f>CONCATENATE("Latent ",G5)</f>
        <v>Latent  gains: implementing FAIR principles would reduce these challenges and unlock efficiency, compliance, and reuse.</v>
      </c>
    </row>
    <row r="62" spans="1:3">
      <c r="A62" t="s">
        <v>873</v>
      </c>
      <c r="B62" s="69" t="s">
        <v>886</v>
      </c>
      <c r="C62" t="str">
        <f>$B$3</f>
        <v>Business_Leader</v>
      </c>
    </row>
    <row r="63" spans="1:3">
      <c r="A63" s="69" t="str">
        <f>H3</f>
        <v>For Business Leaders in a pharmaceutical company, implementing FAIR data principles delivers  strategic, operational, and financial advantages:
1- establish a foundation for digital transformation, enabling enterprise-wide data integration across R&amp;D, manufacturing, regulatory, and commercial operations. Executives gain trusted, real-time visibility into the organization’s data assets, accelerating strategic decision-making and reducing dependency on fragmented systems or manual reporting.
2-  drive innovation and speed-to-market by making high-quality data readily reusable for AI, machine learning, and predictive modeling—shortening development cycles, improving clinical trial design, and identifying portfolio opportunities faster.
3-   reduce operational costs and risks by minimizing data duplication, automating data governance, and enabling scalable management of petabytes of information under consistent standards and archiving policies.
4-  enhance regulatory compliance, audit readiness, and partner interoperability, positioning the organization as a trusted, data-driven leader in a rapidly evolving digital health ecosystem.</v>
      </c>
    </row>
    <row r="64" spans="1:3">
      <c r="B64" s="69"/>
    </row>
    <row r="65" spans="1:2">
      <c r="A65" t="s">
        <v>883</v>
      </c>
      <c r="B65" t="str">
        <f>LEFT(A66,3)</f>
        <v>F1.</v>
      </c>
    </row>
    <row r="66" spans="1:2">
      <c r="A66" t="str">
        <f>I4</f>
        <v xml:space="preserve">F1. Enables enterprise-wide data traceability and eliminates duplication, giving executives visibility and accountability for all critical data assets. </v>
      </c>
    </row>
    <row r="67" spans="1:2">
      <c r="A67" t="s">
        <v>883</v>
      </c>
      <c r="B67" t="str">
        <f>LEFT(A68,3)</f>
        <v xml:space="preserve"> F2</v>
      </c>
    </row>
    <row r="68" spans="1:2">
      <c r="A68" t="str">
        <f>I5</f>
        <v xml:space="preserve"> F2. Improves data discoverability and context, accelerating evidence-based decision-making across R&amp;D, clinical, and manufacturing domains.</v>
      </c>
    </row>
    <row r="69" spans="1:2">
      <c r="A69" t="s">
        <v>883</v>
      </c>
      <c r="B69" t="str">
        <f>LEFT(A70,3)</f>
        <v xml:space="preserve"> F3</v>
      </c>
    </row>
    <row r="70" spans="1:2">
      <c r="A70" t="str">
        <f>I6</f>
        <v xml:space="preserve"> F3. Strengthens data lineage and provenance, ensuring trustworthy, audit-ready information for regulatory compliance.</v>
      </c>
    </row>
    <row r="71" spans="1:2">
      <c r="A71" t="s">
        <v>883</v>
      </c>
      <c r="B71" t="str">
        <f>LEFT(A72,3)</f>
        <v xml:space="preserve"> F4</v>
      </c>
    </row>
    <row r="72" spans="1:2">
      <c r="A72" t="str">
        <f>I7</f>
        <v xml:space="preserve"> F4. Provides centralized visibility of data assets through searchable catalogs and dashboards for strategic oversight and resource planning.</v>
      </c>
    </row>
    <row r="73" spans="1:2">
      <c r="A73" t="s">
        <v>883</v>
      </c>
      <c r="B73" t="str">
        <f>LEFT(A74,3)</f>
        <v xml:space="preserve"> A1</v>
      </c>
    </row>
    <row r="74" spans="1:2">
      <c r="A74" t="str">
        <f>I8</f>
        <v xml:space="preserve"> A1. Ensures consistent, standardized access to validated data across systems, reducing manual effort and delays.</v>
      </c>
    </row>
    <row r="75" spans="1:2">
      <c r="A75" t="s">
        <v>883</v>
      </c>
      <c r="B75" t="str">
        <f>LEFT(A76,3)</f>
        <v xml:space="preserve"> A2</v>
      </c>
    </row>
    <row r="76" spans="1:2">
      <c r="A76" t="str">
        <f>I9</f>
        <v xml:space="preserve"> A2. Balances open access with secure authorization, protecting intellectual property and patient data while enabling collaboration.</v>
      </c>
    </row>
    <row r="77" spans="1:2">
      <c r="A77" t="s">
        <v>883</v>
      </c>
      <c r="B77" t="str">
        <f>LEFT(A78,3)</f>
        <v xml:space="preserve"> I1</v>
      </c>
    </row>
    <row r="78" spans="1:2">
      <c r="A78" t="str">
        <f>I10</f>
        <v xml:space="preserve"> I1. Promotes seamless data exchange across functions, reducing vendor lock-in and integration costs.</v>
      </c>
    </row>
    <row r="79" spans="1:2">
      <c r="A79" t="s">
        <v>883</v>
      </c>
      <c r="B79" t="str">
        <f>LEFT(A80,3)</f>
        <v xml:space="preserve"> I2</v>
      </c>
    </row>
    <row r="80" spans="1:2">
      <c r="A80" t="str">
        <f>I11</f>
        <v xml:space="preserve"> I2. Standardizes vocabularies and formats, supporting scalable data governance and automation at petabyte scale.</v>
      </c>
    </row>
    <row r="81" spans="1:2">
      <c r="A81" t="s">
        <v>883</v>
      </c>
      <c r="B81" t="str">
        <f>LEFT(A82,3)</f>
        <v xml:space="preserve"> I3</v>
      </c>
    </row>
    <row r="82" spans="1:2">
      <c r="A82" t="str">
        <f>I12</f>
        <v xml:space="preserve"> I3. Connects datasets through qualified references, revealing relationships across the value chain for portfolio and pipeline optimization.</v>
      </c>
    </row>
    <row r="83" spans="1:2">
      <c r="A83" t="s">
        <v>883</v>
      </c>
      <c r="B83" t="str">
        <f>LEFT(A84,3)</f>
        <v>R1.</v>
      </c>
    </row>
    <row r="84" spans="1:2">
      <c r="A84" t="str">
        <f>I13</f>
        <v>R1. Ensures data are complete, accurate, and meaningful for reuse in analytics, AI, and digital innovation.</v>
      </c>
    </row>
    <row r="85" spans="1:2">
      <c r="A85" t="s">
        <v>883</v>
      </c>
      <c r="B85" t="str">
        <f>LEFT(A86,3)</f>
        <v xml:space="preserve"> R1</v>
      </c>
    </row>
    <row r="86" spans="1:2">
      <c r="A86" t="str">
        <f>I14</f>
        <v xml:space="preserve"> R1.1. Clarifies data usage rights, reducing legal uncertainty and enabling confident external collaboration.</v>
      </c>
    </row>
    <row r="87" spans="1:2">
      <c r="A87" t="s">
        <v>883</v>
      </c>
      <c r="B87" t="str">
        <f>LEFT(A88,3)</f>
        <v xml:space="preserve"> R1</v>
      </c>
    </row>
    <row r="88" spans="1:2">
      <c r="A88" t="str">
        <f>I15</f>
        <v xml:space="preserve"> R1.2. Provides full provenance for audit trails, reinforcing data integrity and regulatory readiness.</v>
      </c>
    </row>
    <row r="89" spans="1:2">
      <c r="A89" t="s">
        <v>883</v>
      </c>
      <c r="B89" t="str">
        <f>LEFT(A90,3)</f>
        <v xml:space="preserve"> R1</v>
      </c>
    </row>
    <row r="90" spans="1:2">
      <c r="A90" t="str">
        <f>I16</f>
        <v xml:space="preserve"> R1.3. Aligns data with community and regulatory standards (e.g., CDISC, IDMP), ensuring compliance and interoperability.</v>
      </c>
    </row>
  </sheetData>
  <hyperlinks>
    <hyperlink ref="B16" r:id="rId1" xr:uid="{5DC7F18C-6DC8-484D-9B7B-269D10D8B02A}"/>
    <hyperlink ref="A3" r:id="rId2" xr:uid="{AB3BD1E0-B2BA-4650-8BB0-D228E9AE870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F3159A6-C19A-4C1C-BD0A-325833AC1FCE}">
          <x14:formula1>
            <xm:f>'2025-Personas-FAIR-cleaned'!$B$3:$B$40</xm:f>
          </x14:formula1>
          <xm:sqref>B3 E5:E12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0930-DEE7-411E-AA51-71E7FC03F95D}">
  <dimension ref="A1:X90"/>
  <sheetViews>
    <sheetView topLeftCell="A54" workbookViewId="0">
      <selection activeCell="A21" sqref="A21:C90"/>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223</v>
      </c>
      <c r="B3" s="98" t="s">
        <v>429</v>
      </c>
      <c r="C3" s="99" t="str">
        <f>_xlfn.XLOOKUP($B3,'2025-Personas-FAIR-cleaned'!$B$3:$B$40,'2025-Personas-FAIR-cleaned'!$D$3:$D$40)</f>
        <v>A person engaged in conducting research, possibly recognized as an occupation by a formal job title. While a researchers produces and uses data, they are not necessarily data scientists (see: data scientist).</v>
      </c>
      <c r="D3" s="99" t="str">
        <f>_xlfn.XLOOKUP($B3,'2025-Personas-FAIR-cleaned'!$B$3:$B$40,'2025-Personas-FAIR-cleaned'!$G$3:$G$40)</f>
        <v>Investigator; Principal investigator; Scientist 1; Senior Scientist 1</v>
      </c>
      <c r="E3" s="100" t="str">
        <f>_xlfn.XLOOKUP($B3,'2025-Personas-FAIR-cleaned'!$B$3:$B$40,'2025-Personas-FAIR-cleaned'!$H$3:$H$40)</f>
        <v>Citizen_Data_Scientist,Data_Scientist,Data_Steward,Lab_manager,Project_Manager,Subject_Matter_Expert</v>
      </c>
      <c r="F3" s="99" t="str">
        <f>_xlfn.XLOOKUP($B3,'2025-Personas-FAIR-cleaned'!$B$3:$B$40,'2025-Personas-FAIR-cleaned'!$K$3:$K$40)</f>
        <v>Researchers advance scientific knowledge in public or private organizations by conducting complex experiments that can generate large amounts of data. They design, perform, reproduce experimental studies, collect and analyse results. They publish their results in peer-reviewed journals, private reports, and knowledge management systems. Researchers use a mix of unstructured formats such as PowerPoint, Excel, and Word, alongside structured systems like LIMS, internal databases, and ELNs. They often develop and use domain-specific abbreviations that may not be widely understood outside their immediate teams. Researchers actively seek advanced tools such as knowledge graphs, AI-powered insights, and new technologies to enhance discovery. However, their focus on scientific inquiry can sometimes lead to gaps in data management practices, such as limited coordination with IT for large data handling or storage optimization.</v>
      </c>
      <c r="G3" s="99" t="str">
        <f>_xlfn.XLOOKUP($B3,'2025-Personas-FAIR-cleaned'!$B$3:$B$40,'2025-Personas-FAIR-cleaned'!$O$3:$O$40)</f>
        <v>Issues:
There is currently no agreed standard practice for scientific documentation. Different roles—chemists, molecular biologists, in vivo scientists, and others from junior interns to senior researchers—apply diverse and inconsistent approaches to data governance, with no shared guidance on how specific data types should be managed. Electronic lab notebooks (ELNs) often lack clarity, as important details are buried in truncated spreadsheets or hidden behind undefined acronyms. Moreover, the prevalence of encrypted or vendor-locked file types restricts open access, hindering data parsing, interoperability, and reuse.
Latent Gains:
Establishing common documentation standards and adopting interoperable, FAIR-aligned practices would streamline data management across disciplines. Legible and well-structured ELNs would enhance data discoverability and reuse, while open, accessible file formats would enable seamless information exchange and integration. These improvements would not only reduce data loss and duplication but also accelerate scientific insight, collaboration, and regulatory readiness.</v>
      </c>
      <c r="H3" s="99" t="str">
        <f>_xlfn.XLOOKUP($B3,'2025-Personas-FAIR-cleaned'!$B$3:$B$40,'2025-Personas-FAIR-cleaned'!$M$3:$M$40)</f>
        <v> FAIR data principles streamline the research lifecycle from data creation to knowledge sharing. Enhanced metadata makes datasets easier to locate and assess for relevance, while reliable access ensures seamless collaboration across projects. Interoperability connects results across disciplines, fostering integrative discoveries. Alignment with community standards further promotes data reuse, reducing redundancy and supporting transparency. By embedding FAIR practices early—through standardized tools, ontologies, and interoperable systems—researchers can minimize downstream cleanup, improve data quality, and accelerate innovation across the scientific ecosystem.</v>
      </c>
      <c r="I3" s="99" t="str">
        <f>_xlfn.XLOOKUP($B3,'2025-Personas-FAIR-cleaned'!$B$3:$B$40,'2025-Personas-FAIR-cleaned'!$P$3:$P$40)</f>
        <v>F2 makes datasets easier to locate and assess for research relevance; A1 ensures reliable access to collaborative project data; I1 allows linking results across domains and disciplines; R1.3 promotes reuse by aligning outputs with community standards</v>
      </c>
      <c r="J3" s="1"/>
      <c r="K3" s="1"/>
      <c r="L3" s="1"/>
      <c r="M3" s="1"/>
      <c r="N3" s="1"/>
      <c r="O3" s="1"/>
      <c r="P3" s="1"/>
      <c r="Q3" s="1"/>
      <c r="R3" s="1"/>
      <c r="S3" s="1"/>
      <c r="T3" s="1"/>
      <c r="U3" s="1"/>
      <c r="V3" s="1"/>
      <c r="W3" s="1"/>
      <c r="X3" s="1"/>
    </row>
    <row r="4" spans="1:24">
      <c r="D4" s="85" t="str" cm="1">
        <f t="array" ref="D4:D7">_xlfn.TEXTSPLIT(D3,,";")</f>
        <v>Investigator</v>
      </c>
      <c r="E4" s="85" t="str" cm="1">
        <f t="array" ref="E4:E9">_xlfn.TEXTSPLIT(E3,,",")</f>
        <v>Citizen_Data_Scientist</v>
      </c>
      <c r="G4" s="85" t="str" cm="1">
        <f t="array" ref="G4:G5">_xlfn.TEXTSPLIT(G3,,"Latent")</f>
        <v xml:space="preserve">Issues:
There is currently no agreed standard practice for scientific documentation. Different roles—chemists, molecular biologists, in vivo scientists, and others from junior interns to senior researchers—apply diverse and inconsistent approaches to data governance, with no shared guidance on how specific data types should be managed. Electronic lab notebooks (ELNs) often lack clarity, as important details are buried in truncated spreadsheets or hidden behind undefined acronyms. Moreover, the prevalence of encrypted or vendor-locked file types restricts open access, hindering data parsing, interoperability, and reuse.
</v>
      </c>
      <c r="I4" s="85" t="str" cm="1">
        <f t="array" ref="I4:I7">_xlfn.TEXTSPLIT(I3,,";")</f>
        <v>F2 makes datasets easier to locate and assess for research relevance</v>
      </c>
    </row>
    <row r="5" spans="1:24">
      <c r="D5" s="85" t="str">
        <v xml:space="preserve"> Principal investigator</v>
      </c>
      <c r="E5" s="97" t="str">
        <v>Data_Scientist</v>
      </c>
      <c r="G5" t="str">
        <v xml:space="preserve"> Gains:
Establishing common documentation standards and adopting interoperable, FAIR-aligned practices would streamline data management across disciplines. Legible and well-structured ELNs would enhance data discoverability and reuse, while open, accessible file formats would enable seamless information exchange and integration. These improvements would not only reduce data loss and duplication but also accelerate scientific insight, collaboration, and regulatory readiness.</v>
      </c>
      <c r="I5" t="str">
        <v xml:space="preserve"> A1 ensures reliable access to collaborative project data</v>
      </c>
    </row>
    <row r="6" spans="1:24">
      <c r="D6" s="85" t="str">
        <v xml:space="preserve"> Scientist 1</v>
      </c>
      <c r="E6" s="97" t="str">
        <v>Data_Steward</v>
      </c>
      <c r="I6" t="str">
        <v xml:space="preserve"> I1 allows linking results across domains and disciplines</v>
      </c>
    </row>
    <row r="7" spans="1:24">
      <c r="D7" s="85" t="str">
        <v xml:space="preserve"> Senior Scientist 1</v>
      </c>
      <c r="E7" s="97" t="str">
        <v>Lab_manager</v>
      </c>
      <c r="I7" t="str">
        <v xml:space="preserve"> R1.3 promotes reuse by aligning outputs with community standards</v>
      </c>
    </row>
    <row r="8" spans="1:24">
      <c r="D8" s="85" t="s">
        <v>888</v>
      </c>
      <c r="E8" s="97" t="str">
        <v>Project_Manager</v>
      </c>
    </row>
    <row r="9" spans="1:24">
      <c r="D9" s="85" t="s">
        <v>888</v>
      </c>
      <c r="E9" s="97" t="str">
        <v>Subject_Matter_Expert</v>
      </c>
    </row>
    <row r="10" spans="1:24">
      <c r="D10" s="85" t="s">
        <v>888</v>
      </c>
      <c r="E10" s="97"/>
    </row>
    <row r="11" spans="1:24">
      <c r="E11" s="97"/>
    </row>
    <row r="12" spans="1:24">
      <c r="E12" s="97"/>
    </row>
    <row r="16" spans="1:24">
      <c r="A16" s="4" t="s">
        <v>868</v>
      </c>
      <c r="B16" s="56" t="s">
        <v>869</v>
      </c>
    </row>
    <row r="17" spans="1:3">
      <c r="A17" s="4" t="s">
        <v>870</v>
      </c>
      <c r="B17" t="str">
        <f>CONCATENATE(B3,".md")</f>
        <v>Researcher.md</v>
      </c>
    </row>
    <row r="19" spans="1:3" s="94" customFormat="1">
      <c r="A19" s="93" t="s">
        <v>871</v>
      </c>
    </row>
    <row r="21" spans="1:3">
      <c r="A21" t="s">
        <v>872</v>
      </c>
      <c r="B21" t="str">
        <f>B3</f>
        <v>Researcher</v>
      </c>
    </row>
    <row r="22" spans="1:3">
      <c r="A22" t="str">
        <f>CONCATENATE("[",B3,"]","(",B16,B3,")")</f>
        <v>[Researcher](https://pistoiaalliance.github.io/FAIRMaturityMatrix/FAIR_personas/Researcher)</v>
      </c>
    </row>
    <row r="24" spans="1:3">
      <c r="A24" t="s">
        <v>873</v>
      </c>
      <c r="B24" t="s">
        <v>874</v>
      </c>
      <c r="C24" t="str">
        <f>$B$3</f>
        <v>Researcher</v>
      </c>
    </row>
    <row r="25" spans="1:3" ht="30">
      <c r="A25" t="s">
        <v>875</v>
      </c>
      <c r="B25" s="1" t="str">
        <f>CONCATENATE(B24," ",C24)</f>
        <v>Synonyms of  Researcher</v>
      </c>
      <c r="C25" t="s">
        <v>875</v>
      </c>
    </row>
    <row r="26" spans="1:3">
      <c r="A26" t="s">
        <v>875</v>
      </c>
      <c r="B26" t="s">
        <v>876</v>
      </c>
      <c r="C26" t="s">
        <v>875</v>
      </c>
    </row>
    <row r="27" spans="1:3">
      <c r="A27" t="s">
        <v>875</v>
      </c>
      <c r="B27" t="str">
        <f t="shared" ref="B27:B33" si="0">D4</f>
        <v>Investigator</v>
      </c>
      <c r="C27" t="s">
        <v>875</v>
      </c>
    </row>
    <row r="28" spans="1:3">
      <c r="A28" t="s">
        <v>875</v>
      </c>
      <c r="B28" t="str">
        <f t="shared" si="0"/>
        <v xml:space="preserve"> Principal investigator</v>
      </c>
      <c r="C28" t="s">
        <v>875</v>
      </c>
    </row>
    <row r="29" spans="1:3">
      <c r="A29" t="s">
        <v>875</v>
      </c>
      <c r="B29" t="str">
        <f t="shared" si="0"/>
        <v xml:space="preserve"> Scientist 1</v>
      </c>
      <c r="C29" t="s">
        <v>875</v>
      </c>
    </row>
    <row r="30" spans="1:3">
      <c r="A30" t="s">
        <v>875</v>
      </c>
      <c r="B30" t="str">
        <f t="shared" si="0"/>
        <v xml:space="preserve"> Senior Scientist 1</v>
      </c>
      <c r="C30" t="s">
        <v>875</v>
      </c>
    </row>
    <row r="31" spans="1:3">
      <c r="A31" t="s">
        <v>875</v>
      </c>
      <c r="B31" t="str">
        <f t="shared" si="0"/>
        <v>-</v>
      </c>
      <c r="C31" t="s">
        <v>875</v>
      </c>
    </row>
    <row r="32" spans="1:3">
      <c r="A32" t="s">
        <v>875</v>
      </c>
      <c r="B32" t="str">
        <f t="shared" si="0"/>
        <v>-</v>
      </c>
      <c r="C32" t="s">
        <v>875</v>
      </c>
    </row>
    <row r="33" spans="1:3">
      <c r="A33" t="s">
        <v>875</v>
      </c>
      <c r="B33" t="str">
        <f t="shared" si="0"/>
        <v>-</v>
      </c>
      <c r="C33" t="s">
        <v>875</v>
      </c>
    </row>
    <row r="35" spans="1:3">
      <c r="A35" t="s">
        <v>873</v>
      </c>
      <c r="B35" t="s">
        <v>877</v>
      </c>
      <c r="C35" t="str">
        <f>$B$3</f>
        <v>Researcher</v>
      </c>
    </row>
    <row r="36" spans="1:3">
      <c r="A36" t="str">
        <f>C3</f>
        <v>A person engaged in conducting research, possibly recognized as an occupation by a formal job title. While a researchers produces and uses data, they are not necessarily data scientists (see: data scientist).</v>
      </c>
    </row>
    <row r="39" spans="1:3">
      <c r="A39" s="69" t="s">
        <v>878</v>
      </c>
      <c r="B39" t="s">
        <v>879</v>
      </c>
      <c r="C39" t="str">
        <f>$B$3</f>
        <v>Researcher</v>
      </c>
    </row>
    <row r="40" spans="1:3" ht="30">
      <c r="A40" t="s">
        <v>875</v>
      </c>
      <c r="B40" s="1" t="str">
        <f>CONCATENATE(B39," ",C39)</f>
        <v>FAIR persona related to  Researcher</v>
      </c>
      <c r="C40" t="s">
        <v>875</v>
      </c>
    </row>
    <row r="41" spans="1:3">
      <c r="A41" t="s">
        <v>875</v>
      </c>
      <c r="B41" t="s">
        <v>876</v>
      </c>
      <c r="C41" t="s">
        <v>875</v>
      </c>
    </row>
    <row r="42" spans="1:3" ht="90">
      <c r="A42" t="s">
        <v>875</v>
      </c>
      <c r="B42" s="1" t="str">
        <f>CONCATENATE("[",E4,"]","(",$B$16,E4,")")</f>
        <v>[Citizen_Data_Scientist](https://pistoiaalliance.github.io/FAIRMaturityMatrix/FAIR_personas/Citizen_Data_Scientist)</v>
      </c>
      <c r="C42" t="s">
        <v>875</v>
      </c>
    </row>
    <row r="43" spans="1:3">
      <c r="A43" t="s">
        <v>875</v>
      </c>
      <c r="B43" t="str">
        <f t="shared" ref="B43:B49" si="1">CONCATENATE("[",E5,"]","(",$B$16,E5,")")</f>
        <v>[Data_Scientist](https://pistoiaalliance.github.io/FAIRMaturityMatrix/FAIR_personas/Data_Scientist)</v>
      </c>
      <c r="C43" t="s">
        <v>875</v>
      </c>
    </row>
    <row r="44" spans="1:3">
      <c r="A44" t="s">
        <v>875</v>
      </c>
      <c r="B44" t="str">
        <f t="shared" si="1"/>
        <v>[Data_Steward](https://pistoiaalliance.github.io/FAIRMaturityMatrix/FAIR_personas/Data_Steward)</v>
      </c>
      <c r="C44" t="s">
        <v>875</v>
      </c>
    </row>
    <row r="45" spans="1:3">
      <c r="A45" t="s">
        <v>875</v>
      </c>
      <c r="B45" t="str">
        <f t="shared" si="1"/>
        <v>[Lab_manager](https://pistoiaalliance.github.io/FAIRMaturityMatrix/FAIR_personas/Lab_manager)</v>
      </c>
      <c r="C45" t="s">
        <v>875</v>
      </c>
    </row>
    <row r="46" spans="1:3">
      <c r="A46" t="s">
        <v>875</v>
      </c>
      <c r="B46" t="str">
        <f t="shared" si="1"/>
        <v>[Project_Manager](https://pistoiaalliance.github.io/FAIRMaturityMatrix/FAIR_personas/Project_Manager)</v>
      </c>
      <c r="C46" t="s">
        <v>875</v>
      </c>
    </row>
    <row r="47" spans="1:3">
      <c r="A47" t="s">
        <v>875</v>
      </c>
      <c r="B47" t="str">
        <f t="shared" si="1"/>
        <v>[Subject_Matter_Expert](https://pistoiaalliance.github.io/FAIRMaturityMatrix/FAIR_personas/Subject_Matter_Expert)</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Researcher</v>
      </c>
    </row>
    <row r="52" spans="1:3">
      <c r="A52" t="str">
        <f>F3</f>
        <v>Researchers advance scientific knowledge in public or private organizations by conducting complex experiments that can generate large amounts of data. They design, perform, reproduce experimental studies, collect and analyse results. They publish their results in peer-reviewed journals, private reports, and knowledge management systems. Researchers use a mix of unstructured formats such as PowerPoint, Excel, and Word, alongside structured systems like LIMS, internal databases, and ELNs. They often develop and use domain-specific abbreviations that may not be widely understood outside their immediate teams. Researchers actively seek advanced tools such as knowledge graphs, AI-powered insights, and new technologies to enhance discovery. However, their focus on scientific inquiry can sometimes lead to gaps in data management practices, such as limited coordination with IT for large data handling or storage optimization.</v>
      </c>
    </row>
    <row r="55" spans="1:3">
      <c r="A55" t="s">
        <v>881</v>
      </c>
      <c r="B55" s="69" t="s">
        <v>882</v>
      </c>
      <c r="C55" t="str">
        <f>$B$3</f>
        <v>Researcher</v>
      </c>
    </row>
    <row r="56" spans="1:3">
      <c r="A56" t="s">
        <v>883</v>
      </c>
      <c r="B56" t="s">
        <v>884</v>
      </c>
      <c r="C56" t="str">
        <f>$B$3</f>
        <v>Researcher</v>
      </c>
    </row>
    <row r="57" spans="1:3">
      <c r="A57" t="str">
        <f>G4</f>
        <v xml:space="preserve">Issues:
There is currently no agreed standard practice for scientific documentation. Different roles—chemists, molecular biologists, in vivo scientists, and others from junior interns to senior researchers—apply diverse and inconsistent approaches to data governance, with no shared guidance on how specific data types should be managed. Electronic lab notebooks (ELNs) often lack clarity, as important details are buried in truncated spreadsheets or hidden behind undefined acronyms. Moreover, the prevalence of encrypted or vendor-locked file types restricts open access, hindering data parsing, interoperability, and reuse.
</v>
      </c>
    </row>
    <row r="58" spans="1:3">
      <c r="A58" t="s">
        <v>883</v>
      </c>
      <c r="B58" t="s">
        <v>885</v>
      </c>
      <c r="C58" t="str">
        <f>$B$3</f>
        <v>Researcher</v>
      </c>
    </row>
    <row r="59" spans="1:3">
      <c r="A59" t="str">
        <f>CONCATENATE("Latent ",G5)</f>
        <v>Latent  Gains:
Establishing common documentation standards and adopting interoperable, FAIR-aligned practices would streamline data management across disciplines. Legible and well-structured ELNs would enhance data discoverability and reuse, while open, accessible file formats would enable seamless information exchange and integration. These improvements would not only reduce data loss and duplication but also accelerate scientific insight, collaboration, and regulatory readiness.</v>
      </c>
    </row>
    <row r="62" spans="1:3">
      <c r="A62" t="s">
        <v>873</v>
      </c>
      <c r="B62" s="69" t="s">
        <v>886</v>
      </c>
      <c r="C62" t="str">
        <f>$B$3</f>
        <v>Researcher</v>
      </c>
    </row>
    <row r="63" spans="1:3">
      <c r="A63" s="69" t="str">
        <f>H3</f>
        <v> FAIR data principles streamline the research lifecycle from data creation to knowledge sharing. Enhanced metadata makes datasets easier to locate and assess for relevance, while reliable access ensures seamless collaboration across projects. Interoperability connects results across disciplines, fostering integrative discoveries. Alignment with community standards further promotes data reuse, reducing redundancy and supporting transparency. By embedding FAIR practices early—through standardized tools, ontologies, and interoperable systems—researchers can minimize downstream cleanup, improve data quality, and accelerate innovation across the scientific ecosystem.</v>
      </c>
    </row>
    <row r="64" spans="1:3">
      <c r="B64" s="69"/>
    </row>
    <row r="65" spans="1:2">
      <c r="A65" t="s">
        <v>883</v>
      </c>
      <c r="B65" t="str">
        <f>LEFT(A66,3)</f>
        <v xml:space="preserve">F2 </v>
      </c>
    </row>
    <row r="66" spans="1:2">
      <c r="A66" t="str">
        <f>I4</f>
        <v>F2 makes datasets easier to locate and assess for research relevance</v>
      </c>
    </row>
    <row r="67" spans="1:2">
      <c r="A67" t="s">
        <v>883</v>
      </c>
      <c r="B67" t="str">
        <f>LEFT(A68,3)</f>
        <v xml:space="preserve"> A1</v>
      </c>
    </row>
    <row r="68" spans="1:2">
      <c r="A68" t="str">
        <f>I5</f>
        <v xml:space="preserve"> A1 ensures reliable access to collaborative project data</v>
      </c>
    </row>
    <row r="69" spans="1:2">
      <c r="A69" t="s">
        <v>883</v>
      </c>
      <c r="B69" t="str">
        <f>LEFT(A70,3)</f>
        <v xml:space="preserve"> I1</v>
      </c>
    </row>
    <row r="70" spans="1:2">
      <c r="A70" t="str">
        <f>I6</f>
        <v xml:space="preserve"> I1 allows linking results across domains and disciplines</v>
      </c>
    </row>
    <row r="71" spans="1:2">
      <c r="A71" t="s">
        <v>883</v>
      </c>
      <c r="B71" t="str">
        <f>LEFT(A72,3)</f>
        <v xml:space="preserve"> R1</v>
      </c>
    </row>
    <row r="72" spans="1:2">
      <c r="A72" t="str">
        <f>I7</f>
        <v xml:space="preserve"> R1.3 promotes reuse by aligning outputs with community standards</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A1A8ECFA-5A88-4681-9A60-17D745A9C910}"/>
    <hyperlink ref="A3" r:id="rId2" xr:uid="{50794333-A515-4916-9A8F-259BAD60C55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C6BF4B0-DF4D-4D90-8413-FF129B969C37}">
          <x14:formula1>
            <xm:f>'2025-Personas-FAIR-cleaned'!$B$3:$B$40</xm:f>
          </x14:formula1>
          <xm:sqref>B3 E5:E12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376A-DD89-480B-BB4D-1D5ADCC2B1CA}">
  <dimension ref="A1:X90"/>
  <sheetViews>
    <sheetView topLeftCell="A58" workbookViewId="0">
      <selection activeCell="A21" sqref="A21:C71"/>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35.140625" customWidth="1"/>
    <col min="9" max="9" width="25.7109375"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ht="30">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101" t="s">
        <v>223</v>
      </c>
      <c r="B3" s="98" t="s">
        <v>224</v>
      </c>
      <c r="C3" s="99" t="str">
        <f>_xlfn.XLOOKUP($B3,'2025-Personas-FAIR-cleaned'!$B$3:$B$40,'2025-Personas-FAIR-cleaned'!$D$3:$D$40)</f>
        <v>Organizes, standardises, integrates, and maintains ontologies, vocabularies, datasets and data products to ensure they are FAIR and aligned with governance standards.</v>
      </c>
      <c r="D3" s="99" t="str">
        <f>_xlfn.XLOOKUP($B3,'2025-Personas-FAIR-cleaned'!$B$3:$B$40,'2025-Personas-FAIR-cleaned'!$G$3:$G$40)</f>
        <v>Data Curator; Biocurator;  Knowledge Curator</v>
      </c>
      <c r="E3" s="100" t="str">
        <f>_xlfn.XLOOKUP($B3,'2025-Personas-FAIR-cleaned'!$B$3:$B$40,'2025-Personas-FAIR-cleaned'!$H$3:$H$40)</f>
        <v>Data_Standards_and_Governance_Expert,Data_Steward,Knowledge-Enabled_Citizen,Ontologist</v>
      </c>
      <c r="F3" s="99" t="str">
        <f>_xlfn.XLOOKUP($B3,'2025-Personas-FAIR-cleaned'!$B$3:$B$40,'2025-Personas-FAIR-cleaned'!$K$3:$K$40)</f>
        <v>designs and implements curation guidelines; works very closely with stewards and governance personas</v>
      </c>
      <c r="G3" s="99" t="str">
        <f>_xlfn.XLOOKUP($B3,'2025-Personas-FAIR-cleaned'!$B$3:$B$40,'2025-Personas-FAIR-cleaned'!$O$3:$O$40)</f>
        <v>Issues: data are not aligned or based on domain/global standards. This creates additional work at the very least.. Latent gains: implementing FAIR principles would reduce these challenges and unlock efficiency, compliance, and reuse.</v>
      </c>
      <c r="H3" s="99" t="str">
        <f>_xlfn.XLOOKUP($B3,'2025-Personas-FAIR-cleaned'!$B$3:$B$40,'2025-Personas-FAIR-cleaned'!$M$3:$M$40)</f>
        <v>FAIR data principles enhance the efficiency and impact of knowledge management. Rich metadata improves dataset discoverability and context, ensuring curated assets are easily found and understood. Interoperability across knowledge sources enables consistent integration and alignment, while adherence to community standards promotes the reuse and long-term value of curated data assets.</v>
      </c>
      <c r="I3" s="99" t="str">
        <f>_xlfn.XLOOKUP($B3,'2025-Personas-FAIR-cleaned'!$B$3:$B$40,'2025-Personas-FAIR-cleaned'!$P$3:$P$40)</f>
        <v>F2 enriches metadata to improve dataset discoverability; I1 ensures compatibility across curated knowledge sources; R1.3 promotes reuse of curated assets via community standards</v>
      </c>
      <c r="J3" s="1"/>
      <c r="K3" s="1"/>
      <c r="L3" s="1"/>
      <c r="M3" s="1"/>
      <c r="N3" s="1"/>
      <c r="O3" s="1"/>
      <c r="P3" s="1"/>
      <c r="Q3" s="1"/>
      <c r="R3" s="1"/>
      <c r="S3" s="1"/>
      <c r="T3" s="1"/>
      <c r="U3" s="1"/>
      <c r="V3" s="1"/>
      <c r="W3" s="1"/>
      <c r="X3" s="1"/>
    </row>
    <row r="4" spans="1:24">
      <c r="D4" s="85" t="str" cm="1">
        <f t="array" ref="D4:D6">_xlfn.TEXTSPLIT(D3,,";")</f>
        <v>Data Curator</v>
      </c>
      <c r="E4" s="85" t="str" cm="1">
        <f t="array" ref="E4:E7">_xlfn.TEXTSPLIT(E3,,",")</f>
        <v>Data_Standards_and_Governance_Expert</v>
      </c>
      <c r="G4" s="85" t="str" cm="1">
        <f t="array" ref="G4:G5">_xlfn.TEXTSPLIT(G3,,"Latent")</f>
        <v xml:space="preserve">Issues: data are not aligned or based on domain/global standards. This creates additional work at the very least.. </v>
      </c>
      <c r="I4" s="85" t="str" cm="1">
        <f t="array" ref="I4:I6">_xlfn.TEXTSPLIT(I3,,";")</f>
        <v>F2 enriches metadata to improve dataset discoverability</v>
      </c>
    </row>
    <row r="5" spans="1:24">
      <c r="D5" s="85" t="str">
        <v xml:space="preserve"> Biocurator</v>
      </c>
      <c r="E5" s="97" t="str">
        <v>Data_Steward</v>
      </c>
      <c r="G5" t="str">
        <v xml:space="preserve"> gains: implementing FAIR principles would reduce these challenges and unlock efficiency, compliance, and reuse.</v>
      </c>
      <c r="I5" t="str">
        <v xml:space="preserve"> I1 ensures compatibility across curated knowledge sources</v>
      </c>
    </row>
    <row r="6" spans="1:24">
      <c r="D6" s="85" t="str">
        <v xml:space="preserve">  Knowledge Curator</v>
      </c>
      <c r="E6" s="97" t="str">
        <v>Knowledge-Enabled_Citizen</v>
      </c>
      <c r="I6" t="str">
        <v xml:space="preserve"> R1.3 promotes reuse of curated assets via community standards</v>
      </c>
    </row>
    <row r="7" spans="1:24">
      <c r="D7" s="85"/>
      <c r="E7" s="97" t="str">
        <v>Ontologist</v>
      </c>
    </row>
    <row r="8" spans="1:24">
      <c r="D8" s="85" t="s">
        <v>888</v>
      </c>
      <c r="E8" s="97"/>
    </row>
    <row r="9" spans="1:24">
      <c r="D9" s="85" t="s">
        <v>888</v>
      </c>
      <c r="E9" s="97"/>
    </row>
    <row r="10" spans="1:24">
      <c r="D10" s="85" t="s">
        <v>888</v>
      </c>
      <c r="E10" s="97"/>
    </row>
    <row r="11" spans="1:24">
      <c r="E11" s="97"/>
    </row>
    <row r="12" spans="1:24">
      <c r="E12" s="97"/>
    </row>
    <row r="16" spans="1:24">
      <c r="A16" s="4" t="s">
        <v>868</v>
      </c>
      <c r="B16" s="56" t="s">
        <v>869</v>
      </c>
    </row>
    <row r="17" spans="1:3">
      <c r="A17" s="4" t="s">
        <v>870</v>
      </c>
      <c r="B17" t="str">
        <f>CONCATENATE(B3,".md")</f>
        <v>Curator.md</v>
      </c>
    </row>
    <row r="19" spans="1:3" s="94" customFormat="1">
      <c r="A19" s="93" t="s">
        <v>871</v>
      </c>
    </row>
    <row r="21" spans="1:3">
      <c r="A21" t="s">
        <v>872</v>
      </c>
      <c r="B21" t="str">
        <f>B3</f>
        <v>Curator</v>
      </c>
    </row>
    <row r="22" spans="1:3">
      <c r="A22" t="str">
        <f>CONCATENATE("[",B3,"]","(",B16,B3,")")</f>
        <v>[Curator](https://pistoiaalliance.github.io/FAIRMaturityMatrix/FAIR_personas/Curator)</v>
      </c>
    </row>
    <row r="24" spans="1:3">
      <c r="A24" t="s">
        <v>873</v>
      </c>
      <c r="B24" t="s">
        <v>874</v>
      </c>
      <c r="C24" t="str">
        <f>$B$3</f>
        <v>Curator</v>
      </c>
    </row>
    <row r="25" spans="1:3">
      <c r="A25" t="s">
        <v>875</v>
      </c>
      <c r="B25" s="1" t="str">
        <f>CONCATENATE(B24," ",C24)</f>
        <v>Synonyms of  Curator</v>
      </c>
      <c r="C25" t="s">
        <v>875</v>
      </c>
    </row>
    <row r="26" spans="1:3">
      <c r="A26" t="s">
        <v>875</v>
      </c>
      <c r="B26" t="s">
        <v>876</v>
      </c>
      <c r="C26" t="s">
        <v>875</v>
      </c>
    </row>
    <row r="27" spans="1:3">
      <c r="A27" t="s">
        <v>875</v>
      </c>
      <c r="B27" t="str">
        <f t="shared" ref="B27:B33" si="0">D4</f>
        <v>Data Curator</v>
      </c>
      <c r="C27" t="s">
        <v>875</v>
      </c>
    </row>
    <row r="28" spans="1:3">
      <c r="A28" t="s">
        <v>875</v>
      </c>
      <c r="B28" t="str">
        <f t="shared" si="0"/>
        <v xml:space="preserve"> Biocurator</v>
      </c>
      <c r="C28" t="s">
        <v>875</v>
      </c>
    </row>
    <row r="29" spans="1:3">
      <c r="A29" t="s">
        <v>875</v>
      </c>
      <c r="B29" t="str">
        <f t="shared" si="0"/>
        <v xml:space="preserve">  Knowledge Curator</v>
      </c>
      <c r="C29" t="s">
        <v>875</v>
      </c>
    </row>
    <row r="30" spans="1:3">
      <c r="A30" t="s">
        <v>875</v>
      </c>
      <c r="B30">
        <f t="shared" si="0"/>
        <v>0</v>
      </c>
      <c r="C30" t="s">
        <v>875</v>
      </c>
    </row>
    <row r="31" spans="1:3">
      <c r="A31" t="s">
        <v>875</v>
      </c>
      <c r="B31" t="str">
        <f t="shared" si="0"/>
        <v>-</v>
      </c>
      <c r="C31" t="s">
        <v>875</v>
      </c>
    </row>
    <row r="32" spans="1:3">
      <c r="A32" t="s">
        <v>875</v>
      </c>
      <c r="B32" t="str">
        <f t="shared" si="0"/>
        <v>-</v>
      </c>
      <c r="C32" t="s">
        <v>875</v>
      </c>
    </row>
    <row r="33" spans="1:3">
      <c r="A33" t="s">
        <v>875</v>
      </c>
      <c r="B33" t="str">
        <f t="shared" si="0"/>
        <v>-</v>
      </c>
      <c r="C33" t="s">
        <v>875</v>
      </c>
    </row>
    <row r="35" spans="1:3">
      <c r="A35" t="s">
        <v>873</v>
      </c>
      <c r="B35" t="s">
        <v>877</v>
      </c>
      <c r="C35" t="str">
        <f>$B$3</f>
        <v>Curator</v>
      </c>
    </row>
    <row r="36" spans="1:3">
      <c r="A36" t="str">
        <f>C3</f>
        <v>Organizes, standardises, integrates, and maintains ontologies, vocabularies, datasets and data products to ensure they are FAIR and aligned with governance standards.</v>
      </c>
    </row>
    <row r="39" spans="1:3">
      <c r="A39" s="69" t="s">
        <v>878</v>
      </c>
      <c r="B39" t="s">
        <v>879</v>
      </c>
      <c r="C39" t="str">
        <f>$B$3</f>
        <v>Curator</v>
      </c>
    </row>
    <row r="40" spans="1:3" ht="30">
      <c r="A40" t="s">
        <v>875</v>
      </c>
      <c r="B40" s="1" t="str">
        <f>CONCATENATE(B39," ",C39)</f>
        <v>FAIR persona related to  Curator</v>
      </c>
      <c r="C40" t="s">
        <v>875</v>
      </c>
    </row>
    <row r="41" spans="1:3">
      <c r="A41" t="s">
        <v>875</v>
      </c>
      <c r="B41" t="s">
        <v>876</v>
      </c>
      <c r="C41" t="s">
        <v>875</v>
      </c>
    </row>
    <row r="42" spans="1:3" ht="120">
      <c r="A42" t="s">
        <v>875</v>
      </c>
      <c r="B42" s="1" t="str">
        <f>CONCATENATE("[",E4,"]","(",$B$16,E4,")")</f>
        <v>[Data_Standards_and_Governance_Expert](https://pistoiaalliance.github.io/FAIRMaturityMatrix/FAIR_personas/Data_Standards_and_Governance_Expert)</v>
      </c>
      <c r="C42" t="s">
        <v>875</v>
      </c>
    </row>
    <row r="43" spans="1:3">
      <c r="A43" t="s">
        <v>875</v>
      </c>
      <c r="B43" t="str">
        <f t="shared" ref="B43:B49" si="1">CONCATENATE("[",E5,"]","(",$B$16,E5,")")</f>
        <v>[Data_Steward](https://pistoiaalliance.github.io/FAIRMaturityMatrix/FAIR_personas/Data_Steward)</v>
      </c>
      <c r="C43" t="s">
        <v>875</v>
      </c>
    </row>
    <row r="44" spans="1:3">
      <c r="A44" t="s">
        <v>875</v>
      </c>
      <c r="B44" t="str">
        <f t="shared" si="1"/>
        <v>[Knowledge-Enabled_Citizen](https://pistoiaalliance.github.io/FAIRMaturityMatrix/FAIR_personas/Knowledge-Enabled_Citizen)</v>
      </c>
      <c r="C44" t="s">
        <v>875</v>
      </c>
    </row>
    <row r="45" spans="1:3">
      <c r="A45" t="s">
        <v>875</v>
      </c>
      <c r="B45" t="str">
        <f t="shared" si="1"/>
        <v>[Ontologist](https://pistoiaalliance.github.io/FAIRMaturityMatrix/FAIR_personas/Ontologist)</v>
      </c>
      <c r="C45" t="s">
        <v>875</v>
      </c>
    </row>
    <row r="46" spans="1:3">
      <c r="A46" t="s">
        <v>875</v>
      </c>
      <c r="B46" t="str">
        <f t="shared" si="1"/>
        <v>[](https://pistoiaalliance.github.io/FAIRMaturityMatrix/FAIR_personas/)</v>
      </c>
      <c r="C46" t="s">
        <v>875</v>
      </c>
    </row>
    <row r="47" spans="1:3">
      <c r="A47" t="s">
        <v>875</v>
      </c>
      <c r="B47" t="str">
        <f t="shared" si="1"/>
        <v>[](https://pistoiaalliance.github.io/FAIRMaturityMatrix/FAIR_personas/)</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880</v>
      </c>
      <c r="C51" t="str">
        <f>$B$3</f>
        <v>Curator</v>
      </c>
    </row>
    <row r="52" spans="1:3">
      <c r="A52" t="str">
        <f>F3</f>
        <v>designs and implements curation guidelines; works very closely with stewards and governance personas</v>
      </c>
    </row>
    <row r="55" spans="1:3">
      <c r="A55" t="s">
        <v>881</v>
      </c>
      <c r="B55" s="69" t="s">
        <v>882</v>
      </c>
      <c r="C55" t="str">
        <f>$B$3</f>
        <v>Curator</v>
      </c>
    </row>
    <row r="56" spans="1:3">
      <c r="A56" t="s">
        <v>883</v>
      </c>
      <c r="B56" t="s">
        <v>884</v>
      </c>
      <c r="C56" t="str">
        <f>$B$3</f>
        <v>Curator</v>
      </c>
    </row>
    <row r="57" spans="1:3">
      <c r="A57" t="str">
        <f>G4</f>
        <v xml:space="preserve">Issues: data are not aligned or based on domain/global standards. This creates additional work at the very least.. </v>
      </c>
    </row>
    <row r="58" spans="1:3">
      <c r="A58" t="s">
        <v>883</v>
      </c>
      <c r="B58" t="s">
        <v>885</v>
      </c>
      <c r="C58" t="str">
        <f>$B$3</f>
        <v>Curator</v>
      </c>
    </row>
    <row r="59" spans="1:3">
      <c r="A59" t="str">
        <f>CONCATENATE("Latent ",G5)</f>
        <v>Latent  gains: implementing FAIR principles would reduce these challenges and unlock efficiency, compliance, and reuse.</v>
      </c>
    </row>
    <row r="62" spans="1:3">
      <c r="A62" t="s">
        <v>873</v>
      </c>
      <c r="B62" s="69" t="s">
        <v>886</v>
      </c>
      <c r="C62" t="str">
        <f>$B$3</f>
        <v>Curator</v>
      </c>
    </row>
    <row r="63" spans="1:3">
      <c r="A63" s="69" t="str">
        <f>H3</f>
        <v>FAIR data principles enhance the efficiency and impact of knowledge management. Rich metadata improves dataset discoverability and context, ensuring curated assets are easily found and understood. Interoperability across knowledge sources enables consistent integration and alignment, while adherence to community standards promotes the reuse and long-term value of curated data assets.</v>
      </c>
    </row>
    <row r="64" spans="1:3">
      <c r="B64" s="69"/>
    </row>
    <row r="65" spans="1:2">
      <c r="A65" t="s">
        <v>883</v>
      </c>
      <c r="B65" t="str">
        <f>LEFT(A66,3)</f>
        <v xml:space="preserve">F2 </v>
      </c>
    </row>
    <row r="66" spans="1:2">
      <c r="A66" t="str">
        <f>I4</f>
        <v>F2 enriches metadata to improve dataset discoverability</v>
      </c>
    </row>
    <row r="67" spans="1:2">
      <c r="A67" t="s">
        <v>883</v>
      </c>
      <c r="B67" t="str">
        <f>LEFT(A68,3)</f>
        <v xml:space="preserve"> I1</v>
      </c>
    </row>
    <row r="68" spans="1:2">
      <c r="A68" t="str">
        <f>I5</f>
        <v xml:space="preserve"> I1 ensures compatibility across curated knowledge sources</v>
      </c>
    </row>
    <row r="69" spans="1:2">
      <c r="A69" t="s">
        <v>883</v>
      </c>
      <c r="B69" t="str">
        <f>LEFT(A70,3)</f>
        <v xml:space="preserve"> R1</v>
      </c>
    </row>
    <row r="70" spans="1:2">
      <c r="A70" t="str">
        <f>I6</f>
        <v xml:space="preserve"> R1.3 promotes reuse of curated assets via community standards</v>
      </c>
    </row>
    <row r="71" spans="1:2">
      <c r="A71" t="s">
        <v>883</v>
      </c>
      <c r="B71" t="str">
        <f>LEFT(A72,3)</f>
        <v>0</v>
      </c>
    </row>
    <row r="72" spans="1:2">
      <c r="A72">
        <f>I7</f>
        <v>0</v>
      </c>
    </row>
    <row r="73" spans="1:2">
      <c r="A73" t="s">
        <v>883</v>
      </c>
      <c r="B73" t="str">
        <f>LEFT(A74,3)</f>
        <v>0</v>
      </c>
    </row>
    <row r="74" spans="1:2">
      <c r="A74">
        <f>I8</f>
        <v>0</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93AE34FA-E70F-43D4-B439-1DF7E0838713}"/>
    <hyperlink ref="A3" r:id="rId2" xr:uid="{42A2EFA6-927F-4D74-A199-F2F604A52FF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89EF41-A75B-4CF0-814E-9FED1079A3D2}">
          <x14:formula1>
            <xm:f>'2025-Personas-FAIR-cleaned'!$B$3:$B$40</xm:f>
          </x14:formula1>
          <xm:sqref>B3 E5:E12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519C-68A7-42AC-9ADC-D0314899680A}">
  <dimension ref="A1:X90"/>
  <sheetViews>
    <sheetView topLeftCell="C1" workbookViewId="0">
      <selection activeCell="C3" sqref="C3"/>
    </sheetView>
  </sheetViews>
  <sheetFormatPr defaultRowHeight="15"/>
  <cols>
    <col min="1" max="1" width="18.7109375" customWidth="1"/>
    <col min="2" max="2" width="20.42578125" customWidth="1"/>
    <col min="3" max="3" width="45.140625" customWidth="1"/>
    <col min="4" max="4" width="22.7109375" customWidth="1"/>
    <col min="5" max="5" width="35.7109375" customWidth="1"/>
    <col min="6" max="6" width="39.85546875" customWidth="1"/>
    <col min="7" max="7" width="54" customWidth="1"/>
    <col min="8" max="8" width="43.85546875" customWidth="1"/>
    <col min="9" max="9" width="40" customWidth="1"/>
    <col min="10" max="24" width="12.42578125" customWidth="1"/>
  </cols>
  <sheetData>
    <row r="1" spans="1:24" ht="60" customHeight="1">
      <c r="A1" s="2" t="s">
        <v>118</v>
      </c>
      <c r="B1" s="5" t="s">
        <v>119</v>
      </c>
      <c r="C1" s="5" t="s">
        <v>120</v>
      </c>
      <c r="D1" s="5" t="s">
        <v>123</v>
      </c>
      <c r="E1" s="5" t="s">
        <v>124</v>
      </c>
      <c r="F1" s="5" t="s">
        <v>127</v>
      </c>
      <c r="G1" s="5" t="s">
        <v>128</v>
      </c>
      <c r="H1" s="5" t="s">
        <v>129</v>
      </c>
      <c r="I1" s="5" t="s">
        <v>129</v>
      </c>
      <c r="J1" s="5" t="s">
        <v>835</v>
      </c>
      <c r="K1" s="5" t="s">
        <v>836</v>
      </c>
      <c r="L1" s="5" t="s">
        <v>837</v>
      </c>
      <c r="M1" s="5" t="s">
        <v>838</v>
      </c>
      <c r="N1" s="5" t="s">
        <v>839</v>
      </c>
      <c r="O1" s="5" t="s">
        <v>840</v>
      </c>
      <c r="P1" s="5" t="s">
        <v>841</v>
      </c>
      <c r="Q1" s="5" t="s">
        <v>842</v>
      </c>
      <c r="R1" s="5" t="s">
        <v>843</v>
      </c>
      <c r="S1" s="5" t="s">
        <v>844</v>
      </c>
      <c r="T1" s="5" t="s">
        <v>845</v>
      </c>
      <c r="U1" s="5" t="s">
        <v>846</v>
      </c>
      <c r="V1" s="5" t="s">
        <v>847</v>
      </c>
      <c r="W1" s="5" t="s">
        <v>848</v>
      </c>
      <c r="X1" s="5" t="s">
        <v>849</v>
      </c>
    </row>
    <row r="2" spans="1:24">
      <c r="A2" s="86" t="s">
        <v>850</v>
      </c>
      <c r="B2" s="86" t="s">
        <v>133</v>
      </c>
      <c r="C2" s="86" t="s">
        <v>135</v>
      </c>
      <c r="D2" s="86" t="s">
        <v>138</v>
      </c>
      <c r="E2" s="86" t="s">
        <v>139</v>
      </c>
      <c r="F2" s="86" t="s">
        <v>142</v>
      </c>
      <c r="G2" s="86" t="s">
        <v>613</v>
      </c>
      <c r="H2" s="86" t="s">
        <v>851</v>
      </c>
      <c r="I2" s="86" t="s">
        <v>852</v>
      </c>
      <c r="J2" s="92" t="s">
        <v>853</v>
      </c>
      <c r="K2" s="92" t="s">
        <v>854</v>
      </c>
      <c r="L2" s="92" t="s">
        <v>855</v>
      </c>
      <c r="M2" s="92" t="s">
        <v>856</v>
      </c>
      <c r="N2" s="92" t="s">
        <v>857</v>
      </c>
      <c r="O2" s="92" t="s">
        <v>858</v>
      </c>
      <c r="P2" s="92" t="s">
        <v>859</v>
      </c>
      <c r="Q2" s="92" t="s">
        <v>860</v>
      </c>
      <c r="R2" s="92" t="s">
        <v>861</v>
      </c>
      <c r="S2" s="92" t="s">
        <v>862</v>
      </c>
      <c r="T2" s="92" t="s">
        <v>863</v>
      </c>
      <c r="U2" s="92" t="s">
        <v>864</v>
      </c>
      <c r="V2" s="92" t="s">
        <v>865</v>
      </c>
      <c r="W2" s="92" t="s">
        <v>866</v>
      </c>
      <c r="X2" s="92" t="s">
        <v>867</v>
      </c>
    </row>
    <row r="3" spans="1:24" ht="198.75" customHeight="1">
      <c r="A3" s="96"/>
      <c r="B3" s="98" t="s">
        <v>508</v>
      </c>
      <c r="C3" s="99" t="str">
        <f>_xlfn.XLOOKUP($B3,'2025-Personas-FAIR-cleaned'!$B$3:$B$40,'2025-Personas-FAIR-cleaned'!$D$3:$D$40)</f>
        <v>A role in an organization focusing on processes, models and policies that manages the generation, use and governance of data, metadata  and data standards in a FAIR compliant manner. Develops processes to deliver and maintain FAIR data and services</v>
      </c>
      <c r="D3" s="99" t="str">
        <f>_xlfn.XLOOKUP($B3,'2025-Personas-FAIR-cleaned'!$B$3:$B$40,'2025-Personas-FAIR-cleaned'!$G$3:$G$40)</f>
        <v>FAIR_Architect; Information_Architect; Data_Architecture Lead; Metadata Modeler</v>
      </c>
      <c r="E3" s="100" t="str">
        <f>_xlfn.XLOOKUP($B3,'2025-Personas-FAIR-cleaned'!$B$3:$B$40,'2025-Personas-FAIR-cleaned'!$H$3:$H$40)</f>
        <v>FAIR_Community_Manager,Clinical_Data_Manager,Data_Engineer,Data_Standards_and_Governance_Expert,Ontologist,Technology_Leader</v>
      </c>
      <c r="F3" s="99" t="str">
        <f>_xlfn.XLOOKUP($B3,'2025-Personas-FAIR-cleaned'!$B$3:$B$40,'2025-Personas-FAIR-cleaned'!$K$3:$K$40)</f>
        <v>A FAIR Architect in a large pharmaceutical organization is responsible for designing and maintaining the enterprise data architecture with a focus on FAIR compliance. This includes defining data models, metadata schemas, ontologies, and standards that ensure all relevant organizational data is findable, accessible, interoperable, and reusable. They develop governance policies, workflows, and pipelines to deliver FAIR data and services, often coordinating with Data Engineers, Clinical Data Managers, and FAIR Community Managers. Their work includes evaluating and implementing data platforms, standardizing data formats, establishing data lineage and provenance frameworks, and ensuring regulatory compliance while enabling cross-functional analytics, AI, and machine learning initiatives.</v>
      </c>
      <c r="G3" s="99" t="str">
        <f>_xlfn.XLOOKUP($B3,'2025-Personas-FAIR-cleaned'!$B$3:$B$40,'2025-Personas-FAIR-cleaned'!$O$3:$O$40)</f>
        <v>Issues: 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 Latent gains: implementing FAIR principles would reduce these challenges and unlock efficiency, compliance, and reuse.</v>
      </c>
      <c r="H3" s="99" t="str">
        <f>_xlfn.XLOOKUP($B3,'2025-Personas-FAIR-cleaned'!$B$3:$B$40,'2025-Personas-FAIR-cleaned'!$M$3:$M$40)</f>
        <v>FAIR-aligned data facilitates the work of the data architect in the long run . Standardized metadata, ontologies, and governance frameworks reduce errors, streamline integration, and improve collaboration across departments. Data is consistently structured, discoverable, and of controllable quality across multiple sources, making it easier for teams to access and leverage information for analytics, regulatory submissions, and research.  By establishing clear data lineage, provenance, and documentation, FAIR practices enhance transparency and trust in data, support reproducibility, and enable efficient reuse for future projects. Ultimately, FAIR adoption allows the FAIR Architect to optimize data workflows, minimize duplication of effort, and create a scalable, sustainable data infrastructure that drives better decision-making across the organization.</v>
      </c>
      <c r="I3" s="99" t="str">
        <f>_xlfn.XLOOKUP($B3,'2025-Personas-FAIR-cleaned'!$B$3:$B$40,'2025-Personas-FAIR-cleaned'!$P$3:$P$40)</f>
        <v>F1 ensures persistent identifiers are embedded into the data architecture, enabling consistent referencing across systems; F2 enforces rich metadata standards, making datasets machine-actionable and discoverable by design; A1 guarantees accessible services and APIs for data delivery within the enterprise; I1/I2 enable semantic and technical interoperability across platforms and applications; R1.1 ensures reproducibility of workflows and system outputs, providing confidence in architectural reliability.</v>
      </c>
      <c r="J3" s="1" t="s">
        <v>889</v>
      </c>
      <c r="K3" s="1" t="s">
        <v>890</v>
      </c>
      <c r="L3" s="1"/>
      <c r="M3" s="1"/>
      <c r="N3" s="1" t="s">
        <v>891</v>
      </c>
      <c r="O3" s="1"/>
      <c r="P3" s="1"/>
      <c r="Q3" s="1"/>
      <c r="R3" s="1" t="s">
        <v>892</v>
      </c>
      <c r="S3" s="1"/>
      <c r="T3" s="1"/>
      <c r="U3" s="1"/>
      <c r="V3" s="1" t="s">
        <v>893</v>
      </c>
      <c r="W3" s="1"/>
      <c r="X3" s="1"/>
    </row>
    <row r="4" spans="1:24">
      <c r="D4" s="85" t="str" cm="1">
        <f t="array" ref="D4:D7">_xlfn.TEXTSPLIT(D3,,";")</f>
        <v>FAIR_Architect</v>
      </c>
      <c r="E4" s="85" t="str" cm="1">
        <f t="array" ref="E4:E9">_xlfn.TEXTSPLIT(E3,,",")</f>
        <v>FAIR_Community_Manager</v>
      </c>
      <c r="G4" s="85" t="str" cm="1">
        <f t="array" ref="G4:G5">_xlfn.TEXTSPLIT(G3,,"Latent")</f>
        <v xml:space="preserve">Issues: 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 </v>
      </c>
      <c r="I4" s="85" t="str" cm="1">
        <f t="array" ref="I4:I8">_xlfn.TEXTSPLIT(I3,,";")</f>
        <v>F1 ensures persistent identifiers are embedded into the data architecture, enabling consistent referencing across systems</v>
      </c>
    </row>
    <row r="5" spans="1:24">
      <c r="D5" s="85" t="str">
        <v xml:space="preserve"> Information_Architect</v>
      </c>
      <c r="E5" s="97" t="str">
        <v>Clinical_Data_Manager</v>
      </c>
      <c r="G5" t="str">
        <v xml:space="preserve"> gains: implementing FAIR principles would reduce these challenges and unlock efficiency, compliance, and reuse.</v>
      </c>
      <c r="I5" t="str">
        <v xml:space="preserve"> F2 enforces rich metadata standards, making datasets machine-actionable and discoverable by design</v>
      </c>
    </row>
    <row r="6" spans="1:24">
      <c r="D6" s="85" t="str">
        <v xml:space="preserve"> Data_Architecture Lead</v>
      </c>
      <c r="E6" s="97" t="str">
        <v>Data_Engineer</v>
      </c>
      <c r="I6" t="str">
        <v xml:space="preserve"> A1 guarantees accessible services and APIs for data delivery within the enterprise</v>
      </c>
    </row>
    <row r="7" spans="1:24">
      <c r="D7" s="85" t="str">
        <v xml:space="preserve"> Metadata Modeler</v>
      </c>
      <c r="E7" s="97" t="str">
        <v>Data_Standards_and_Governance_Expert</v>
      </c>
      <c r="I7" t="str">
        <v xml:space="preserve"> I1/I2 enable semantic and technical interoperability across platforms and applications</v>
      </c>
    </row>
    <row r="8" spans="1:24">
      <c r="D8" s="85" t="s">
        <v>888</v>
      </c>
      <c r="E8" s="97" t="str">
        <v>Ontologist</v>
      </c>
      <c r="I8" t="str">
        <v xml:space="preserve"> R1.1 ensures reproducibility of workflows and system outputs, providing confidence in architectural reliability.</v>
      </c>
    </row>
    <row r="9" spans="1:24">
      <c r="D9" s="85" t="s">
        <v>888</v>
      </c>
      <c r="E9" s="97" t="str">
        <v>Technology_Leader</v>
      </c>
    </row>
    <row r="10" spans="1:24">
      <c r="D10" s="85" t="s">
        <v>888</v>
      </c>
      <c r="E10" s="97"/>
    </row>
    <row r="11" spans="1:24">
      <c r="E11" s="97"/>
    </row>
    <row r="12" spans="1:24">
      <c r="E12" s="97"/>
    </row>
    <row r="16" spans="1:24">
      <c r="A16" s="4" t="s">
        <v>868</v>
      </c>
      <c r="B16" s="56" t="s">
        <v>869</v>
      </c>
    </row>
    <row r="17" spans="1:3">
      <c r="A17" s="4" t="s">
        <v>870</v>
      </c>
      <c r="B17" t="str">
        <f>CONCATENATE(B3,".md")</f>
        <v>FAIR_Data_Architect.md</v>
      </c>
    </row>
    <row r="19" spans="1:3" s="94" customFormat="1">
      <c r="A19" s="93" t="s">
        <v>871</v>
      </c>
    </row>
    <row r="21" spans="1:3">
      <c r="A21" t="s">
        <v>872</v>
      </c>
      <c r="B21" t="str">
        <f>B3</f>
        <v>FAIR_Data_Architect</v>
      </c>
    </row>
    <row r="22" spans="1:3">
      <c r="A22" t="str">
        <f>CONCATENATE("[",B3,"]","(",B16,B3,")")</f>
        <v>[FAIR_Data_Architect](https://pistoiaalliance.github.io/FAIRMaturityMatrix/FAIR_personas/FAIR_Data_Architect)</v>
      </c>
    </row>
    <row r="24" spans="1:3">
      <c r="A24" t="s">
        <v>873</v>
      </c>
      <c r="B24" t="s">
        <v>894</v>
      </c>
      <c r="C24" t="str">
        <f>$B$3</f>
        <v>FAIR_Data_Architect</v>
      </c>
    </row>
    <row r="25" spans="1:3" ht="30">
      <c r="A25" t="s">
        <v>875</v>
      </c>
      <c r="B25" s="1" t="str">
        <f>CONCATENATE(B24," ",C24)</f>
        <v>Synonyms_of_ FAIR_Data_Architect</v>
      </c>
      <c r="C25" t="s">
        <v>875</v>
      </c>
    </row>
    <row r="26" spans="1:3">
      <c r="A26" t="s">
        <v>875</v>
      </c>
      <c r="B26" t="s">
        <v>876</v>
      </c>
      <c r="C26" t="s">
        <v>875</v>
      </c>
    </row>
    <row r="27" spans="1:3">
      <c r="A27" t="s">
        <v>875</v>
      </c>
      <c r="B27" t="str">
        <f t="shared" ref="B27:B33" si="0">D4</f>
        <v>FAIR_Architect</v>
      </c>
      <c r="C27" t="s">
        <v>875</v>
      </c>
    </row>
    <row r="28" spans="1:3">
      <c r="A28" t="s">
        <v>875</v>
      </c>
      <c r="B28" t="str">
        <f t="shared" si="0"/>
        <v xml:space="preserve"> Information_Architect</v>
      </c>
      <c r="C28" t="s">
        <v>875</v>
      </c>
    </row>
    <row r="29" spans="1:3">
      <c r="A29" t="s">
        <v>875</v>
      </c>
      <c r="B29" t="str">
        <f t="shared" si="0"/>
        <v xml:space="preserve"> Data_Architecture Lead</v>
      </c>
      <c r="C29" t="s">
        <v>875</v>
      </c>
    </row>
    <row r="30" spans="1:3">
      <c r="A30" t="s">
        <v>875</v>
      </c>
      <c r="B30" t="str">
        <f t="shared" si="0"/>
        <v xml:space="preserve"> Metadata Modeler</v>
      </c>
      <c r="C30" t="s">
        <v>875</v>
      </c>
    </row>
    <row r="31" spans="1:3">
      <c r="A31" t="s">
        <v>875</v>
      </c>
      <c r="B31" t="str">
        <f t="shared" si="0"/>
        <v>-</v>
      </c>
      <c r="C31" t="s">
        <v>875</v>
      </c>
    </row>
    <row r="32" spans="1:3">
      <c r="A32" t="s">
        <v>875</v>
      </c>
      <c r="B32" t="str">
        <f t="shared" si="0"/>
        <v>-</v>
      </c>
      <c r="C32" t="s">
        <v>875</v>
      </c>
    </row>
    <row r="33" spans="1:3">
      <c r="A33" t="s">
        <v>875</v>
      </c>
      <c r="B33" t="str">
        <f t="shared" si="0"/>
        <v>-</v>
      </c>
      <c r="C33" t="s">
        <v>875</v>
      </c>
    </row>
    <row r="35" spans="1:3">
      <c r="A35" t="s">
        <v>873</v>
      </c>
      <c r="B35" t="s">
        <v>895</v>
      </c>
      <c r="C35" t="str">
        <f>$B$3</f>
        <v>FAIR_Data_Architect</v>
      </c>
    </row>
    <row r="36" spans="1:3">
      <c r="A36" t="str">
        <f>C3</f>
        <v>A role in an organization focusing on processes, models and policies that manages the generation, use and governance of data, metadata  and data standards in a FAIR compliant manner. Develops processes to deliver and maintain FAIR data and services</v>
      </c>
    </row>
    <row r="39" spans="1:3">
      <c r="A39" s="69" t="s">
        <v>878</v>
      </c>
      <c r="B39" t="s">
        <v>896</v>
      </c>
      <c r="C39" t="str">
        <f>$B$3</f>
        <v>FAIR_Data_Architect</v>
      </c>
    </row>
    <row r="40" spans="1:3" ht="45">
      <c r="A40" t="s">
        <v>875</v>
      </c>
      <c r="B40" s="1" t="str">
        <f>CONCATENATE(B39," ",C39)</f>
        <v>FAIR_persona related to  FAIR_Data_Architect</v>
      </c>
      <c r="C40" t="s">
        <v>875</v>
      </c>
    </row>
    <row r="41" spans="1:3">
      <c r="A41" t="s">
        <v>875</v>
      </c>
      <c r="B41" t="s">
        <v>876</v>
      </c>
      <c r="C41" t="s">
        <v>875</v>
      </c>
    </row>
    <row r="42" spans="1:3" ht="90">
      <c r="A42" t="s">
        <v>875</v>
      </c>
      <c r="B42" s="1" t="str">
        <f>CONCATENATE("[",E4,"]","(",$B$16,E4,")")</f>
        <v>[FAIR_Community_Manager](https://pistoiaalliance.github.io/FAIRMaturityMatrix/FAIR_personas/FAIR_Community_Manager)</v>
      </c>
      <c r="C42" t="s">
        <v>875</v>
      </c>
    </row>
    <row r="43" spans="1:3">
      <c r="A43" t="s">
        <v>875</v>
      </c>
      <c r="B43" t="str">
        <f t="shared" ref="B43:B49" si="1">CONCATENATE("[",E5,"]","(",$B$16,E5,")")</f>
        <v>[Clinical_Data_Manager](https://pistoiaalliance.github.io/FAIRMaturityMatrix/FAIR_personas/Clinical_Data_Manager)</v>
      </c>
      <c r="C43" t="s">
        <v>875</v>
      </c>
    </row>
    <row r="44" spans="1:3">
      <c r="A44" t="s">
        <v>875</v>
      </c>
      <c r="B44" t="str">
        <f t="shared" si="1"/>
        <v>[Data_Engineer](https://pistoiaalliance.github.io/FAIRMaturityMatrix/FAIR_personas/Data_Engineer)</v>
      </c>
      <c r="C44" t="s">
        <v>875</v>
      </c>
    </row>
    <row r="45" spans="1:3">
      <c r="A45" t="s">
        <v>875</v>
      </c>
      <c r="B45" t="str">
        <f t="shared" si="1"/>
        <v>[Data_Standards_and_Governance_Expert](https://pistoiaalliance.github.io/FAIRMaturityMatrix/FAIR_personas/Data_Standards_and_Governance_Expert)</v>
      </c>
      <c r="C45" t="s">
        <v>875</v>
      </c>
    </row>
    <row r="46" spans="1:3">
      <c r="A46" t="s">
        <v>875</v>
      </c>
      <c r="B46" t="str">
        <f t="shared" si="1"/>
        <v>[Ontologist](https://pistoiaalliance.github.io/FAIRMaturityMatrix/FAIR_personas/Ontologist)</v>
      </c>
      <c r="C46" t="s">
        <v>875</v>
      </c>
    </row>
    <row r="47" spans="1:3">
      <c r="A47" t="s">
        <v>875</v>
      </c>
      <c r="B47" t="str">
        <f t="shared" si="1"/>
        <v>[Technology_Leader](https://pistoiaalliance.github.io/FAIRMaturityMatrix/FAIR_personas/Technology_Leader)</v>
      </c>
      <c r="C47" t="s">
        <v>875</v>
      </c>
    </row>
    <row r="48" spans="1:3">
      <c r="A48" t="s">
        <v>875</v>
      </c>
      <c r="B48" t="str">
        <f t="shared" si="1"/>
        <v>[](https://pistoiaalliance.github.io/FAIRMaturityMatrix/FAIR_personas/)</v>
      </c>
      <c r="C48" t="s">
        <v>875</v>
      </c>
    </row>
    <row r="49" spans="1:3">
      <c r="A49" t="s">
        <v>875</v>
      </c>
      <c r="B49" t="str">
        <f t="shared" si="1"/>
        <v>[](https://pistoiaalliance.github.io/FAIRMaturityMatrix/FAIR_personas/)</v>
      </c>
      <c r="C49" t="s">
        <v>875</v>
      </c>
    </row>
    <row r="51" spans="1:3">
      <c r="A51" s="69" t="s">
        <v>878</v>
      </c>
      <c r="B51" t="s">
        <v>897</v>
      </c>
      <c r="C51" t="str">
        <f>$B$3</f>
        <v>FAIR_Data_Architect</v>
      </c>
    </row>
    <row r="52" spans="1:3">
      <c r="A52" t="str">
        <f>F3</f>
        <v>A FAIR Architect in a large pharmaceutical organization is responsible for designing and maintaining the enterprise data architecture with a focus on FAIR compliance. This includes defining data models, metadata schemas, ontologies, and standards that ensure all relevant organizational data is findable, accessible, interoperable, and reusable. They develop governance policies, workflows, and pipelines to deliver FAIR data and services, often coordinating with Data Engineers, Clinical Data Managers, and FAIR Community Managers. Their work includes evaluating and implementing data platforms, standardizing data formats, establishing data lineage and provenance frameworks, and ensuring regulatory compliance while enabling cross-functional analytics, AI, and machine learning initiatives.</v>
      </c>
    </row>
    <row r="55" spans="1:3">
      <c r="A55" t="s">
        <v>881</v>
      </c>
      <c r="B55" s="69" t="s">
        <v>898</v>
      </c>
      <c r="C55" t="str">
        <f>$B$3</f>
        <v>FAIR_Data_Architect</v>
      </c>
    </row>
    <row r="56" spans="1:3">
      <c r="A56" t="s">
        <v>883</v>
      </c>
      <c r="B56" t="s">
        <v>899</v>
      </c>
      <c r="C56" t="str">
        <f>$B$3</f>
        <v>FAIR_Data_Architect</v>
      </c>
    </row>
    <row r="57" spans="1:3">
      <c r="A57" t="str">
        <f>G4</f>
        <v xml:space="preserve">Issues: The Data  Architect faces challenges related to heterogeneity, scale, and complexity of pharma data. Data comes from multiple sources (lab equipment, imaging, "omics", electronic note books, clinical trials, real-world evidence) with inconsistent standards, metadata quality, and provenance. Integrating these sources into a coherent  (FAIR) framework while balancing regulatory, privacy, and operational requirements is complex. Additionally, driving organization-wide adoption of  good (FAIR) data practices requires alignment across multiple stakeholders, overcoming legacy systems, and managing trade-offs between technical feasibility, cost, and usability.. </v>
      </c>
    </row>
    <row r="58" spans="1:3">
      <c r="A58" t="s">
        <v>883</v>
      </c>
      <c r="B58" t="s">
        <v>900</v>
      </c>
      <c r="C58" t="str">
        <f>$B$3</f>
        <v>FAIR_Data_Architect</v>
      </c>
    </row>
    <row r="59" spans="1:3">
      <c r="A59" t="str">
        <f>CONCATENATE("Latent ",G5)</f>
        <v>Latent  gains: implementing FAIR principles would reduce these challenges and unlock efficiency, compliance, and reuse.</v>
      </c>
    </row>
    <row r="62" spans="1:3">
      <c r="A62" t="s">
        <v>873</v>
      </c>
      <c r="B62" s="69" t="s">
        <v>901</v>
      </c>
      <c r="C62" t="str">
        <f>$B$3</f>
        <v>FAIR_Data_Architect</v>
      </c>
    </row>
    <row r="63" spans="1:3">
      <c r="A63" s="69" t="str">
        <f>H3</f>
        <v>FAIR-aligned data facilitates the work of the data architect in the long run . Standardized metadata, ontologies, and governance frameworks reduce errors, streamline integration, and improve collaboration across departments. Data is consistently structured, discoverable, and of controllable quality across multiple sources, making it easier for teams to access and leverage information for analytics, regulatory submissions, and research.  By establishing clear data lineage, provenance, and documentation, FAIR practices enhance transparency and trust in data, support reproducibility, and enable efficient reuse for future projects. Ultimately, FAIR adoption allows the FAIR Architect to optimize data workflows, minimize duplication of effort, and create a scalable, sustainable data infrastructure that drives better decision-making across the organization.</v>
      </c>
    </row>
    <row r="64" spans="1:3">
      <c r="B64" s="69"/>
    </row>
    <row r="65" spans="1:2">
      <c r="A65" t="s">
        <v>883</v>
      </c>
      <c r="B65" t="str">
        <f>LEFT(A66,3)</f>
        <v xml:space="preserve">F1 </v>
      </c>
    </row>
    <row r="66" spans="1:2">
      <c r="A66" t="str">
        <f>I4</f>
        <v>F1 ensures persistent identifiers are embedded into the data architecture, enabling consistent referencing across systems</v>
      </c>
    </row>
    <row r="67" spans="1:2">
      <c r="A67" t="s">
        <v>883</v>
      </c>
      <c r="B67" t="str">
        <f>LEFT(A68,3)</f>
        <v xml:space="preserve"> F2</v>
      </c>
    </row>
    <row r="68" spans="1:2">
      <c r="A68" t="str">
        <f>I5</f>
        <v xml:space="preserve"> F2 enforces rich metadata standards, making datasets machine-actionable and discoverable by design</v>
      </c>
    </row>
    <row r="69" spans="1:2">
      <c r="A69" t="s">
        <v>883</v>
      </c>
      <c r="B69" t="str">
        <f>LEFT(A70,3)</f>
        <v xml:space="preserve"> A1</v>
      </c>
    </row>
    <row r="70" spans="1:2">
      <c r="A70" t="str">
        <f>I6</f>
        <v xml:space="preserve"> A1 guarantees accessible services and APIs for data delivery within the enterprise</v>
      </c>
    </row>
    <row r="71" spans="1:2">
      <c r="A71" t="s">
        <v>883</v>
      </c>
      <c r="B71" t="str">
        <f>LEFT(A72,3)</f>
        <v xml:space="preserve"> I1</v>
      </c>
    </row>
    <row r="72" spans="1:2">
      <c r="A72" t="str">
        <f>I7</f>
        <v xml:space="preserve"> I1/I2 enable semantic and technical interoperability across platforms and applications</v>
      </c>
    </row>
    <row r="73" spans="1:2">
      <c r="A73" t="s">
        <v>883</v>
      </c>
      <c r="B73" t="str">
        <f>LEFT(A74,3)</f>
        <v xml:space="preserve"> R1</v>
      </c>
    </row>
    <row r="74" spans="1:2">
      <c r="A74" t="str">
        <f>I8</f>
        <v xml:space="preserve"> R1.1 ensures reproducibility of workflows and system outputs, providing confidence in architectural reliability.</v>
      </c>
    </row>
    <row r="75" spans="1:2">
      <c r="A75" t="s">
        <v>883</v>
      </c>
      <c r="B75" t="str">
        <f>LEFT(A76,3)</f>
        <v>0</v>
      </c>
    </row>
    <row r="76" spans="1:2">
      <c r="A76">
        <f>I9</f>
        <v>0</v>
      </c>
    </row>
    <row r="77" spans="1:2">
      <c r="A77" t="s">
        <v>883</v>
      </c>
      <c r="B77" t="str">
        <f>LEFT(A78,3)</f>
        <v>0</v>
      </c>
    </row>
    <row r="78" spans="1:2">
      <c r="A78">
        <f>I10</f>
        <v>0</v>
      </c>
    </row>
    <row r="79" spans="1:2">
      <c r="A79" t="s">
        <v>883</v>
      </c>
      <c r="B79" t="str">
        <f>LEFT(A80,3)</f>
        <v>0</v>
      </c>
    </row>
    <row r="80" spans="1:2">
      <c r="A80">
        <f>I11</f>
        <v>0</v>
      </c>
    </row>
    <row r="81" spans="1:2">
      <c r="A81" t="s">
        <v>883</v>
      </c>
      <c r="B81" t="str">
        <f>LEFT(A82,3)</f>
        <v>0</v>
      </c>
    </row>
    <row r="82" spans="1:2">
      <c r="A82">
        <f>I12</f>
        <v>0</v>
      </c>
    </row>
    <row r="83" spans="1:2">
      <c r="A83" t="s">
        <v>883</v>
      </c>
      <c r="B83" t="str">
        <f>LEFT(A84,3)</f>
        <v>0</v>
      </c>
    </row>
    <row r="84" spans="1:2">
      <c r="A84">
        <f>I13</f>
        <v>0</v>
      </c>
    </row>
    <row r="85" spans="1:2">
      <c r="A85" t="s">
        <v>883</v>
      </c>
      <c r="B85" t="str">
        <f>LEFT(A86,3)</f>
        <v>0</v>
      </c>
    </row>
    <row r="86" spans="1:2">
      <c r="A86">
        <f>I14</f>
        <v>0</v>
      </c>
    </row>
    <row r="87" spans="1:2">
      <c r="A87" t="s">
        <v>883</v>
      </c>
      <c r="B87" t="str">
        <f>LEFT(A88,3)</f>
        <v>0</v>
      </c>
    </row>
    <row r="88" spans="1:2">
      <c r="A88">
        <f>I15</f>
        <v>0</v>
      </c>
    </row>
    <row r="89" spans="1:2">
      <c r="A89" t="s">
        <v>883</v>
      </c>
      <c r="B89" t="str">
        <f>LEFT(A90,3)</f>
        <v>0</v>
      </c>
    </row>
    <row r="90" spans="1:2">
      <c r="A90">
        <f>I16</f>
        <v>0</v>
      </c>
    </row>
  </sheetData>
  <hyperlinks>
    <hyperlink ref="B16" r:id="rId1" xr:uid="{994D7C29-B6E4-436C-B264-64C27F2CE2A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C21EBF8-8847-4B24-B3BC-29160A7D116B}">
          <x14:formula1>
            <xm:f>'2025-Personas-FAIR-cleaned'!$B$3:$B$40</xm:f>
          </x14:formula1>
          <xm:sqref>B3 E5:E12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083C-1EE4-4882-8DFC-2347CFB7CC3B}">
  <dimension ref="A1:H14"/>
  <sheetViews>
    <sheetView workbookViewId="0"/>
  </sheetViews>
  <sheetFormatPr defaultRowHeight="15"/>
  <cols>
    <col min="1" max="1" width="45.28515625" style="1" customWidth="1"/>
    <col min="2" max="2" width="27" customWidth="1"/>
    <col min="3" max="6" width="34.85546875" customWidth="1"/>
    <col min="7" max="7" width="39" customWidth="1"/>
  </cols>
  <sheetData>
    <row r="1" spans="1:8" ht="30">
      <c r="A1" s="11" t="s">
        <v>902</v>
      </c>
      <c r="B1" s="13" t="s">
        <v>336</v>
      </c>
      <c r="C1" s="15"/>
      <c r="D1" s="12"/>
      <c r="E1" s="12"/>
      <c r="F1" s="12"/>
      <c r="G1" s="12"/>
      <c r="H1" s="12"/>
    </row>
    <row r="2" spans="1:8" ht="30">
      <c r="A2" s="11" t="s">
        <v>903</v>
      </c>
      <c r="B2" s="13" t="s">
        <v>80</v>
      </c>
      <c r="C2" s="15"/>
      <c r="D2" s="12"/>
      <c r="E2" s="12"/>
      <c r="F2" s="12"/>
      <c r="G2" s="12"/>
      <c r="H2" s="12"/>
    </row>
    <row r="3" spans="1:8" ht="45">
      <c r="A3" s="11" t="s">
        <v>904</v>
      </c>
      <c r="B3" s="11"/>
      <c r="C3" s="11"/>
      <c r="D3" s="11"/>
      <c r="E3" s="12"/>
      <c r="F3" s="12"/>
      <c r="G3" s="12"/>
      <c r="H3" s="12"/>
    </row>
    <row r="4" spans="1:8" ht="30">
      <c r="A4" s="16" t="s">
        <v>905</v>
      </c>
      <c r="B4" s="16" t="s">
        <v>906</v>
      </c>
      <c r="C4" s="16" t="s">
        <v>907</v>
      </c>
      <c r="D4" s="16" t="s">
        <v>908</v>
      </c>
      <c r="E4" s="16" t="s">
        <v>909</v>
      </c>
      <c r="F4" s="16" t="s">
        <v>613</v>
      </c>
      <c r="G4" s="16" t="s">
        <v>614</v>
      </c>
      <c r="H4" s="16" t="s">
        <v>137</v>
      </c>
    </row>
    <row r="5" spans="1:8" ht="75">
      <c r="A5" s="17" t="s">
        <v>910</v>
      </c>
      <c r="B5" s="17" t="s">
        <v>911</v>
      </c>
      <c r="C5" s="17" t="s">
        <v>912</v>
      </c>
      <c r="D5" s="17" t="s">
        <v>913</v>
      </c>
      <c r="E5" s="17" t="s">
        <v>914</v>
      </c>
      <c r="F5" s="17" t="s">
        <v>915</v>
      </c>
      <c r="G5" s="17" t="s">
        <v>916</v>
      </c>
      <c r="H5" s="12"/>
    </row>
    <row r="6" spans="1:8" ht="30">
      <c r="A6" s="16" t="s">
        <v>917</v>
      </c>
      <c r="B6" s="16" t="s">
        <v>906</v>
      </c>
      <c r="C6" s="16" t="s">
        <v>907</v>
      </c>
      <c r="D6" s="16" t="s">
        <v>908</v>
      </c>
      <c r="E6" s="16" t="s">
        <v>909</v>
      </c>
      <c r="F6" s="16" t="s">
        <v>613</v>
      </c>
      <c r="G6" s="16" t="s">
        <v>614</v>
      </c>
      <c r="H6" s="16" t="s">
        <v>137</v>
      </c>
    </row>
    <row r="7" spans="1:8" ht="90">
      <c r="A7" s="18" t="s">
        <v>918</v>
      </c>
      <c r="B7" s="20">
        <v>45826</v>
      </c>
      <c r="C7" s="19" t="s">
        <v>650</v>
      </c>
      <c r="D7" s="19" t="s">
        <v>919</v>
      </c>
      <c r="E7" s="19" t="s">
        <v>762</v>
      </c>
      <c r="F7" s="19" t="s">
        <v>285</v>
      </c>
      <c r="G7" s="19" t="s">
        <v>763</v>
      </c>
      <c r="H7" s="19"/>
    </row>
    <row r="8" spans="1:8" ht="270">
      <c r="A8" s="13" t="s">
        <v>920</v>
      </c>
      <c r="B8" s="21">
        <v>45828</v>
      </c>
      <c r="C8" s="12" t="s">
        <v>764</v>
      </c>
      <c r="D8" s="12" t="s">
        <v>921</v>
      </c>
      <c r="E8" s="12" t="s">
        <v>922</v>
      </c>
      <c r="F8" s="12" t="s">
        <v>297</v>
      </c>
      <c r="G8" s="12"/>
      <c r="H8" s="12"/>
    </row>
    <row r="9" spans="1:8" ht="120">
      <c r="A9" s="18" t="s">
        <v>923</v>
      </c>
      <c r="B9" s="20">
        <v>45868</v>
      </c>
      <c r="C9" s="19" t="s">
        <v>924</v>
      </c>
      <c r="D9" s="19"/>
      <c r="E9" s="19"/>
      <c r="F9" s="19"/>
      <c r="G9" s="19" t="s">
        <v>925</v>
      </c>
      <c r="H9" s="18" t="s">
        <v>926</v>
      </c>
    </row>
    <row r="10" spans="1:8" ht="409.5">
      <c r="A10" s="13" t="s">
        <v>923</v>
      </c>
      <c r="B10" s="21">
        <v>45868</v>
      </c>
      <c r="C10" s="13" t="s">
        <v>927</v>
      </c>
      <c r="D10" s="12" t="s">
        <v>928</v>
      </c>
      <c r="E10" s="12" t="s">
        <v>929</v>
      </c>
      <c r="F10" s="12"/>
      <c r="G10" s="12"/>
      <c r="H10" s="13" t="s">
        <v>930</v>
      </c>
    </row>
    <row r="11" spans="1:8" ht="75">
      <c r="A11" s="19"/>
      <c r="B11" s="19"/>
      <c r="C11" s="19" t="s">
        <v>546</v>
      </c>
      <c r="D11" s="19"/>
      <c r="E11" s="19" t="s">
        <v>931</v>
      </c>
      <c r="F11" s="19"/>
      <c r="G11" s="19"/>
      <c r="H11" s="19"/>
    </row>
    <row r="12" spans="1:8" ht="120">
      <c r="A12" s="12"/>
      <c r="B12" s="12"/>
      <c r="C12" s="12"/>
      <c r="D12" s="12"/>
      <c r="E12" s="12" t="s">
        <v>932</v>
      </c>
      <c r="F12" s="12"/>
      <c r="G12" s="12"/>
      <c r="H12" s="12"/>
    </row>
    <row r="13" spans="1:8" ht="90">
      <c r="A13" s="19"/>
      <c r="B13" s="19"/>
      <c r="C13" s="19"/>
      <c r="D13" s="19"/>
      <c r="E13" s="19" t="s">
        <v>933</v>
      </c>
      <c r="F13" s="19"/>
      <c r="G13" s="19"/>
      <c r="H13" s="19"/>
    </row>
    <row r="14" spans="1:8" ht="150">
      <c r="A14" s="12"/>
      <c r="B14" s="12"/>
      <c r="C14" s="12"/>
      <c r="D14" s="12"/>
      <c r="E14" s="12" t="s">
        <v>934</v>
      </c>
      <c r="F14" s="12"/>
      <c r="G14" s="12"/>
      <c r="H14" s="12"/>
    </row>
  </sheetData>
  <hyperlinks>
    <hyperlink ref="B1" r:id="rId1" xr:uid="{ABF91C2E-FE3D-4916-B0DE-491408231462}"/>
    <hyperlink ref="B2" r:id="rId2" xr:uid="{30FB88C6-231D-4CCF-BAE9-226C6F39FE5D}"/>
    <hyperlink ref="A7" r:id="rId3" xr:uid="{E7F7B64B-E810-4022-B9CC-90B7A158F17E}"/>
    <hyperlink ref="A8" r:id="rId4" xr:uid="{CF92ECBF-1390-4F02-9C3E-95D60B120BBA}"/>
    <hyperlink ref="A9" r:id="rId5" xr:uid="{342821AA-7D49-40D0-A14C-58256B90FAA7}"/>
    <hyperlink ref="H9" r:id="rId6" xr:uid="{E22B43C5-3A0E-41FD-A9C8-F63EF12F8166}"/>
    <hyperlink ref="A10" r:id="rId7" xr:uid="{754695DF-92CA-449D-A64D-B40F87B5A84D}"/>
    <hyperlink ref="C10" r:id="rId8" xr:uid="{82654063-CDDF-41A9-BD48-C3B43FE2A338}"/>
    <hyperlink ref="H10" r:id="rId9" xr:uid="{77FDCAB0-607B-4C94-8FA8-34E2AE8114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rgetPubDate xmlns="f5040e91-3282-49bb-85a1-8287f94baa08" xsi:nil="true"/>
    <lcf76f155ced4ddcb4097134ff3c332f xmlns="f5040e91-3282-49bb-85a1-8287f94baa08">
      <Terms xmlns="http://schemas.microsoft.com/office/infopath/2007/PartnerControls"/>
    </lcf76f155ced4ddcb4097134ff3c332f>
    <Owner xmlns="f5040e91-3282-49bb-85a1-8287f94baa08">
      <UserInfo>
        <DisplayName/>
        <AccountId xsi:nil="true"/>
        <AccountType/>
      </UserInfo>
    </Owner>
    <TaxCatchAll xmlns="ad920d59-6a69-4911-ba86-f4839e8b88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A8357AEA00F546977D897A20785C51" ma:contentTypeVersion="15" ma:contentTypeDescription="Create a new document." ma:contentTypeScope="" ma:versionID="a629984d570507fc33359656b7af9a9e">
  <xsd:schema xmlns:xsd="http://www.w3.org/2001/XMLSchema" xmlns:xs="http://www.w3.org/2001/XMLSchema" xmlns:p="http://schemas.microsoft.com/office/2006/metadata/properties" xmlns:ns2="f5040e91-3282-49bb-85a1-8287f94baa08" xmlns:ns3="ad920d59-6a69-4911-ba86-f4839e8b8880" targetNamespace="http://schemas.microsoft.com/office/2006/metadata/properties" ma:root="true" ma:fieldsID="2c2ec8a677c7cb871cc615195dc43d40" ns2:_="" ns3:_="">
    <xsd:import namespace="f5040e91-3282-49bb-85a1-8287f94baa08"/>
    <xsd:import namespace="ad920d59-6a69-4911-ba86-f4839e8b8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TargetPubDate" minOccurs="0"/>
                <xsd:element ref="ns2:Owner"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040e91-3282-49bb-85a1-8287f94ba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db813fb-bc1a-4827-8f49-bdbcdc6cd4cc" ma:termSetId="09814cd3-568e-fe90-9814-8d621ff8fb84" ma:anchorId="fba54fb3-c3e1-fe81-a776-ca4b69148c4d" ma:open="true" ma:isKeyword="false">
      <xsd:complexType>
        <xsd:sequence>
          <xsd:element ref="pc:Terms" minOccurs="0" maxOccurs="1"/>
        </xsd:sequence>
      </xsd:complexType>
    </xsd:element>
    <xsd:element name="TargetPubDate" ma:index="20" nillable="true" ma:displayName="Target Pub Date" ma:format="DateTime" ma:internalName="TargetPubDate">
      <xsd:simpleType>
        <xsd:restriction base="dms:DateTime"/>
      </xsd:simpleType>
    </xsd:element>
    <xsd:element name="Owner" ma:index="21" nillable="true" ma:displayName="Owner"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920d59-6a69-4911-ba86-f4839e8b888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dde294e-497d-4d25-82c0-b58daab5a8d8}" ma:internalName="TaxCatchAll" ma:showField="CatchAllData" ma:web="ad920d59-6a69-4911-ba86-f4839e8b8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BCFE81-533D-4DFB-AACD-83F7781ED6BB}"/>
</file>

<file path=customXml/itemProps2.xml><?xml version="1.0" encoding="utf-8"?>
<ds:datastoreItem xmlns:ds="http://schemas.openxmlformats.org/officeDocument/2006/customXml" ds:itemID="{8DD4924F-2DC8-4099-A576-C0846145C8E8}"/>
</file>

<file path=customXml/itemProps3.xml><?xml version="1.0" encoding="utf-8"?>
<ds:datastoreItem xmlns:ds="http://schemas.openxmlformats.org/officeDocument/2006/customXml" ds:itemID="{98A6A617-A878-4A26-9725-7D170656FF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Gajula, Tara Kumar</cp:lastModifiedBy>
  <cp:revision/>
  <dcterms:created xsi:type="dcterms:W3CDTF">2025-05-13T14:39:19Z</dcterms:created>
  <dcterms:modified xsi:type="dcterms:W3CDTF">2026-02-11T02:59:57Z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0x0101001BA8357AEA00F546977D897A20785C51</vt:lpwstr>
  </property>
  <property fmtid="{D5CDD505-2E9C-101B-9397-08002B2CF9AE}" pid="3" name="MediaServiceImageTags">
    <vt:lpwstr/>
  </property>
  <property fmtid="{D5CDD505-2E9C-101B-9397-08002B2CF9AE}" pid="4" name="MSIP_Label_4791b42f-c435-42ca-9531-75a3f42aae3d_Enabled">
    <vt:lpwstr>true</vt:lpwstr>
  </property>
  <property fmtid="{D5CDD505-2E9C-101B-9397-08002B2CF9AE}" pid="5" name="MSIP_Label_4791b42f-c435-42ca-9531-75a3f42aae3d_SetDate">
    <vt:lpwstr>2025-09-17T09:30:54Z</vt:lpwstr>
  </property>
  <property fmtid="{D5CDD505-2E9C-101B-9397-08002B2CF9AE}" pid="6" name="MSIP_Label_4791b42f-c435-42ca-9531-75a3f42aae3d_Method">
    <vt:lpwstr>Privileged</vt:lpwstr>
  </property>
  <property fmtid="{D5CDD505-2E9C-101B-9397-08002B2CF9AE}" pid="7" name="MSIP_Label_4791b42f-c435-42ca-9531-75a3f42aae3d_Name">
    <vt:lpwstr>4791b42f-c435-42ca-9531-75a3f42aae3d</vt:lpwstr>
  </property>
  <property fmtid="{D5CDD505-2E9C-101B-9397-08002B2CF9AE}" pid="8" name="MSIP_Label_4791b42f-c435-42ca-9531-75a3f42aae3d_SiteId">
    <vt:lpwstr>7a916015-20ae-4ad1-9170-eefd915e9272</vt:lpwstr>
  </property>
  <property fmtid="{D5CDD505-2E9C-101B-9397-08002B2CF9AE}" pid="9" name="MSIP_Label_4791b42f-c435-42ca-9531-75a3f42aae3d_ActionId">
    <vt:lpwstr>1e0f3ae2-12ef-42f0-8b69-94c456db446d</vt:lpwstr>
  </property>
  <property fmtid="{D5CDD505-2E9C-101B-9397-08002B2CF9AE}" pid="10" name="MSIP_Label_4791b42f-c435-42ca-9531-75a3f42aae3d_ContentBits">
    <vt:lpwstr>0</vt:lpwstr>
  </property>
  <property fmtid="{D5CDD505-2E9C-101B-9397-08002B2CF9AE}" pid="11" name="MSIP_Label_4791b42f-c435-42ca-9531-75a3f42aae3d_Tag">
    <vt:lpwstr>10, 0, 1, 1</vt:lpwstr>
  </property>
</Properties>
</file>